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sonusnetworks-my.sharepoint.com/personal/bkumar_rbbn_com/Documents/Biju/Tech/VBA Macros/Macro Tools/"/>
    </mc:Choice>
  </mc:AlternateContent>
  <xr:revisionPtr revIDLastSave="89" documentId="8_{B7CBB02D-7FCE-4161-ABBB-D5AA07DC8A6F}" xr6:coauthVersionLast="47" xr6:coauthVersionMax="47" xr10:uidLastSave="{00C195C5-A2FF-4336-8D38-574353732C3D}"/>
  <bookViews>
    <workbookView xWindow="-110" yWindow="-110" windowWidth="19420" windowHeight="10300" firstSheet="10" activeTab="13" xr2:uid="{00000000-000D-0000-FFFF-FFFF00000000}"/>
  </bookViews>
  <sheets>
    <sheet name="Check_Duplicate" sheetId="2" r:id="rId1"/>
    <sheet name="Double criteria" sheetId="3" r:id="rId2"/>
    <sheet name="SumIF" sheetId="4" r:id="rId3"/>
    <sheet name="NestedIfs" sheetId="5" r:id="rId4"/>
    <sheet name="Vlookup" sheetId="6" r:id="rId5"/>
    <sheet name="Lookup" sheetId="8" r:id="rId6"/>
    <sheet name="Sumproduct" sheetId="9" r:id="rId7"/>
    <sheet name="Compare two columns" sheetId="10" r:id="rId8"/>
    <sheet name="Compare three columns" sheetId="18" r:id="rId9"/>
    <sheet name="concatenate" sheetId="11" r:id="rId10"/>
    <sheet name="Count values in cell" sheetId="12" r:id="rId11"/>
    <sheet name="Workdays" sheetId="13" r:id="rId12"/>
    <sheet name="Count and List Worksheets" sheetId="14" r:id="rId13"/>
    <sheet name="Index" sheetId="15" r:id="rId14"/>
    <sheet name="Split_Search" sheetId="19" r:id="rId15"/>
    <sheet name="COUNTIFS" sheetId="16" r:id="rId16"/>
    <sheet name="Split" sheetId="17" r:id="rId17"/>
    <sheet name="Convert Years Months" sheetId="20" r:id="rId18"/>
    <sheet name="Number" sheetId="21" r:id="rId19"/>
    <sheet name="Date_Increment" sheetId="22" r:id="rId20"/>
    <sheet name="Add numbers with blank rows" sheetId="23" r:id="rId21"/>
    <sheet name="Insert Row" sheetId="24" r:id="rId22"/>
    <sheet name="Advanced Vlook" sheetId="25" r:id="rId2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8" i="15" l="1"/>
  <c r="B7" i="15"/>
  <c r="F4" i="25" a="1"/>
  <c r="F4" i="25" s="1"/>
  <c r="F5" i="25" a="1"/>
  <c r="F5" i="25" s="1"/>
  <c r="F3" i="25" a="1"/>
  <c r="F3" i="25" s="1"/>
  <c r="E2" i="4"/>
  <c r="A16" i="23"/>
  <c r="A15" i="23"/>
  <c r="A14" i="23"/>
  <c r="A13" i="23"/>
  <c r="A12" i="23"/>
  <c r="A11" i="23"/>
  <c r="A10" i="23"/>
  <c r="A9" i="23"/>
  <c r="A8" i="23"/>
  <c r="A7" i="23"/>
  <c r="A6" i="23"/>
  <c r="A5" i="23"/>
  <c r="A4" i="23"/>
  <c r="A3" i="23"/>
  <c r="A2" i="23"/>
  <c r="B2" i="21"/>
  <c r="B3" i="21"/>
  <c r="B4" i="21"/>
  <c r="B5" i="21"/>
  <c r="B6" i="21"/>
  <c r="B7" i="21"/>
  <c r="B8" i="21"/>
  <c r="B9" i="21"/>
  <c r="B10" i="21"/>
  <c r="B11" i="21"/>
  <c r="B1" i="21"/>
  <c r="F2" i="20"/>
  <c r="E2" i="20"/>
  <c r="D2" i="20"/>
  <c r="C2" i="20"/>
  <c r="L6" i="19" l="1"/>
  <c r="I6" i="19"/>
  <c r="L5" i="19"/>
  <c r="L4" i="19"/>
  <c r="K4" i="19"/>
  <c r="J4" i="19"/>
  <c r="K3" i="19"/>
  <c r="L2" i="19"/>
  <c r="K6" i="19" l="1"/>
  <c r="J6" i="19"/>
  <c r="I3" i="19"/>
  <c r="I2" i="19"/>
  <c r="L3" i="19"/>
  <c r="J5" i="19"/>
  <c r="J3" i="19"/>
  <c r="I5" i="19"/>
  <c r="J2" i="19"/>
  <c r="K5" i="19"/>
  <c r="K2" i="19"/>
  <c r="I4" i="19"/>
  <c r="B7" i="19"/>
  <c r="B6" i="19"/>
  <c r="B5" i="19"/>
  <c r="B4" i="19"/>
  <c r="B3" i="19"/>
  <c r="B2" i="19"/>
  <c r="E3" i="18" l="1"/>
  <c r="E4" i="18"/>
  <c r="E5" i="18"/>
  <c r="E2" i="18"/>
  <c r="D3" i="18" l="1"/>
  <c r="D4" i="18"/>
  <c r="D5" i="18"/>
  <c r="D2" i="18"/>
  <c r="B2" i="17" l="1"/>
  <c r="B3" i="17"/>
  <c r="B4" i="17"/>
  <c r="B1" i="17"/>
  <c r="B10" i="16" l="1"/>
  <c r="B11" i="16"/>
  <c r="B12" i="16"/>
  <c r="B9" i="15" l="1"/>
  <c r="B1" i="12" l="1"/>
  <c r="C4" i="14" l="1"/>
  <c r="C5" i="14" s="1"/>
  <c r="C6" i="14" s="1"/>
  <c r="C7" i="14" s="1"/>
  <c r="C8" i="14" s="1"/>
  <c r="C9" i="14" s="1"/>
  <c r="C10" i="14" s="1"/>
  <c r="C11" i="14" s="1"/>
  <c r="C12" i="14" s="1"/>
  <c r="C13" i="14" s="1"/>
  <c r="B14" i="14"/>
  <c r="B15" i="14"/>
  <c r="B3" i="14"/>
  <c r="B7" i="14"/>
  <c r="B11" i="14"/>
  <c r="B9" i="14"/>
  <c r="B6" i="14"/>
  <c r="B4" i="14"/>
  <c r="B8" i="14"/>
  <c r="B12" i="14"/>
  <c r="B5" i="14"/>
  <c r="B13" i="14"/>
  <c r="B10" i="14"/>
  <c r="B2" i="14"/>
  <c r="C17" i="14"/>
  <c r="F3" i="8" l="1"/>
  <c r="F4" i="8"/>
  <c r="F5" i="8"/>
  <c r="G4" i="8"/>
  <c r="G5" i="8"/>
  <c r="G3" i="8"/>
  <c r="G2" i="8"/>
  <c r="F2" i="8"/>
  <c r="E2" i="8"/>
  <c r="E3" i="8"/>
  <c r="E4" i="8" l="1"/>
  <c r="E5" i="8"/>
  <c r="B8" i="13"/>
  <c r="E1" i="11"/>
  <c r="C10" i="10"/>
  <c r="C9" i="10"/>
  <c r="C8" i="10"/>
  <c r="C7" i="10"/>
  <c r="C6" i="10"/>
  <c r="C5" i="10"/>
  <c r="C4" i="10"/>
  <c r="C3" i="10"/>
  <c r="C2" i="10"/>
  <c r="C2" i="9"/>
  <c r="E33" i="6"/>
  <c r="E32" i="6"/>
  <c r="E31" i="6"/>
  <c r="E29" i="6"/>
  <c r="E30" i="6"/>
  <c r="E28" i="6"/>
  <c r="D14" i="4"/>
  <c r="D15" i="4"/>
  <c r="D16" i="4"/>
  <c r="D13" i="4"/>
  <c r="C2" i="2"/>
  <c r="D13" i="3"/>
  <c r="H4" i="6"/>
  <c r="H10" i="6"/>
  <c r="B10" i="8"/>
  <c r="H8" i="6"/>
  <c r="J4" i="6"/>
  <c r="I4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A4" i="5"/>
  <c r="A3" i="5"/>
  <c r="A2" i="5"/>
  <c r="E4" i="4"/>
  <c r="E3" i="4"/>
  <c r="F3" i="2"/>
  <c r="F4" i="2"/>
  <c r="F5" i="2"/>
  <c r="F6" i="2"/>
  <c r="F2" i="2"/>
  <c r="C3" i="2"/>
  <c r="C4" i="2"/>
  <c r="C5" i="2"/>
  <c r="C6" i="2"/>
  <c r="E3" i="2"/>
  <c r="E4" i="2"/>
  <c r="E5" i="2"/>
  <c r="E6" i="2"/>
  <c r="E2" i="2"/>
  <c r="D6" i="2"/>
  <c r="D5" i="2"/>
  <c r="D4" i="2"/>
  <c r="D3" i="2"/>
  <c r="D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<sst xmlns="http://schemas.openxmlformats.org/spreadsheetml/2006/main" count="357" uniqueCount="189">
  <si>
    <t>abc</t>
  </si>
  <si>
    <t>def</t>
  </si>
  <si>
    <t>jkl</t>
  </si>
  <si>
    <t>pqr</t>
  </si>
  <si>
    <t>Column A</t>
  </si>
  <si>
    <t>Column B</t>
  </si>
  <si>
    <t>Duplicate entry of A
found in B</t>
  </si>
  <si>
    <t>Duplicate entry of B
found in A</t>
  </si>
  <si>
    <t>Vehicle</t>
  </si>
  <si>
    <t>Color</t>
  </si>
  <si>
    <t>Car</t>
  </si>
  <si>
    <t>Bike</t>
  </si>
  <si>
    <t>Black</t>
  </si>
  <si>
    <t>Blue</t>
  </si>
  <si>
    <t>Green</t>
  </si>
  <si>
    <t>Yellow</t>
  </si>
  <si>
    <t>No. of cars that are of black color is</t>
  </si>
  <si>
    <t>Resource</t>
  </si>
  <si>
    <t>Efforts</t>
  </si>
  <si>
    <t>Total</t>
  </si>
  <si>
    <t>A</t>
  </si>
  <si>
    <t>B</t>
  </si>
  <si>
    <t>C</t>
  </si>
  <si>
    <t>Date</t>
  </si>
  <si>
    <t>Build</t>
  </si>
  <si>
    <t>A1</t>
  </si>
  <si>
    <t>A2</t>
  </si>
  <si>
    <t>A3</t>
  </si>
  <si>
    <t>Genre</t>
  </si>
  <si>
    <t>Year</t>
  </si>
  <si>
    <t>Sl. No.</t>
  </si>
  <si>
    <t>Title</t>
  </si>
  <si>
    <t>Remark</t>
  </si>
  <si>
    <t xml:space="preserve">007 - Dr No </t>
  </si>
  <si>
    <t>Action</t>
  </si>
  <si>
    <t xml:space="preserve">007 - Octopussy </t>
  </si>
  <si>
    <t xml:space="preserve">007 - Quantum of Solace </t>
  </si>
  <si>
    <t>Die Hard</t>
  </si>
  <si>
    <t>Die Hard with a Vengeance</t>
  </si>
  <si>
    <t>Die Harder</t>
  </si>
  <si>
    <t>Live Free or Die</t>
  </si>
  <si>
    <t xml:space="preserve">Magnum Force </t>
  </si>
  <si>
    <t xml:space="preserve">Sudden Impact </t>
  </si>
  <si>
    <t xml:space="preserve">The Enforcer </t>
  </si>
  <si>
    <t>First Blood</t>
  </si>
  <si>
    <t>Rambo</t>
  </si>
  <si>
    <t>Rambo II</t>
  </si>
  <si>
    <t>Rambo III</t>
  </si>
  <si>
    <t>The Bourne Identity</t>
  </si>
  <si>
    <t>The Bourne Supremacy</t>
  </si>
  <si>
    <t>The Bourne Ultimatum</t>
  </si>
  <si>
    <t xml:space="preserve">100 Rifles </t>
  </si>
  <si>
    <t xml:space="preserve">Apocalypto </t>
  </si>
  <si>
    <t xml:space="preserve">Armageddon </t>
  </si>
  <si>
    <t xml:space="preserve">Blood Diamond </t>
  </si>
  <si>
    <t>Body of Lies</t>
  </si>
  <si>
    <t>Choose</t>
  </si>
  <si>
    <t>Yup!</t>
  </si>
  <si>
    <t>Select</t>
  </si>
  <si>
    <t>red</t>
  </si>
  <si>
    <t>orange</t>
  </si>
  <si>
    <t>yellow</t>
  </si>
  <si>
    <t>green</t>
  </si>
  <si>
    <t>blue</t>
  </si>
  <si>
    <t>D</t>
  </si>
  <si>
    <t>Refer: http://www.experiglot.com/2007/11/19/how-to-use-vlookup-in-excel-a-simple-tutorial-part-i/</t>
  </si>
  <si>
    <t>F</t>
  </si>
  <si>
    <t>E</t>
  </si>
  <si>
    <t>b</t>
  </si>
  <si>
    <t>X</t>
  </si>
  <si>
    <t>Flag</t>
  </si>
  <si>
    <t>id</t>
  </si>
  <si>
    <t>M</t>
  </si>
  <si>
    <t>Condition required is Flag=A and id= " "</t>
  </si>
  <si>
    <t>Source</t>
  </si>
  <si>
    <t>Check</t>
  </si>
  <si>
    <t>Found/Not Found</t>
  </si>
  <si>
    <t>ABC</t>
  </si>
  <si>
    <t>DEF</t>
  </si>
  <si>
    <t>GHI</t>
  </si>
  <si>
    <t>JKL</t>
  </si>
  <si>
    <t>MNO</t>
  </si>
  <si>
    <t>XYZ</t>
  </si>
  <si>
    <t>AAA</t>
  </si>
  <si>
    <t>BBB</t>
  </si>
  <si>
    <t>FFF</t>
  </si>
  <si>
    <t>To compute dates without weekends</t>
  </si>
  <si>
    <t>Total test cases</t>
  </si>
  <si>
    <t>Rate of completion</t>
  </si>
  <si>
    <t>Start Date</t>
  </si>
  <si>
    <t>End Date</t>
  </si>
  <si>
    <t>red -- 1</t>
  </si>
  <si>
    <t>orange -- 2</t>
  </si>
  <si>
    <t>green -- 3</t>
  </si>
  <si>
    <t>blue -- 2</t>
  </si>
  <si>
    <t xml:space="preserve">Trimmed </t>
  </si>
  <si>
    <t>Value</t>
  </si>
  <si>
    <t>Count of Worksheets</t>
  </si>
  <si>
    <t>2007 and above Excel Versions</t>
  </si>
  <si>
    <t>Click 'Ctrl+F3', then 'Name Manager' Box Appears</t>
  </si>
  <si>
    <r>
      <t>Click '</t>
    </r>
    <r>
      <rPr>
        <u/>
        <sz val="10"/>
        <rFont val="Verdana"/>
        <family val="2"/>
      </rPr>
      <t>N</t>
    </r>
    <r>
      <rPr>
        <sz val="10"/>
        <rFont val="Verdana"/>
        <family val="2"/>
      </rPr>
      <t>ew' (use shortcut key Alt+N)</t>
    </r>
  </si>
  <si>
    <t>Then, 'New name' box appears</t>
  </si>
  <si>
    <r>
      <t>Enter 'Name' as "</t>
    </r>
    <r>
      <rPr>
        <b/>
        <sz val="10"/>
        <color rgb="FF0000FF"/>
        <rFont val="Verdana"/>
        <family val="2"/>
      </rPr>
      <t>CountSheets</t>
    </r>
    <r>
      <rPr>
        <sz val="10"/>
        <rFont val="Verdana"/>
        <family val="2"/>
      </rPr>
      <t>"</t>
    </r>
    <r>
      <rPr>
        <i/>
        <sz val="10"/>
        <rFont val="Verdana"/>
        <family val="2"/>
      </rPr>
      <t>(Your choice)</t>
    </r>
  </si>
  <si>
    <r>
      <t>Enter 'Refer To' as </t>
    </r>
    <r>
      <rPr>
        <sz val="10"/>
        <color rgb="FFFF0000"/>
        <rFont val="Verdana"/>
        <family val="2"/>
      </rPr>
      <t>=GET.WORKBOOK(1)&amp;T(NOW())</t>
    </r>
  </si>
  <si>
    <t>Click OK</t>
  </si>
  <si>
    <t>It takes you to the 'Name Manager' box again (you can find the Defined Name in the list)</t>
  </si>
  <si>
    <t>Click 'Close'</t>
  </si>
  <si>
    <t>Come to the Cell, where you want to enter the Formula</t>
  </si>
  <si>
    <r>
      <t>Enter the Formula as </t>
    </r>
    <r>
      <rPr>
        <sz val="10"/>
        <color rgb="FFFF0000"/>
        <rFont val="Verdana"/>
        <family val="2"/>
      </rPr>
      <t>=COUNTA(INDEX(</t>
    </r>
    <r>
      <rPr>
        <b/>
        <sz val="10"/>
        <color rgb="FF0000FF"/>
        <rFont val="Verdana"/>
        <family val="2"/>
      </rPr>
      <t>CountSheets</t>
    </r>
    <r>
      <rPr>
        <sz val="10"/>
        <color rgb="FFFF0000"/>
        <rFont val="Verdana"/>
        <family val="2"/>
      </rPr>
      <t>,0))</t>
    </r>
  </si>
  <si>
    <t>Click Enter</t>
  </si>
  <si>
    <t>Instructions</t>
  </si>
  <si>
    <t>List worksheet names using a formula</t>
  </si>
  <si>
    <t>http://support.microsoft.com/kb/214142</t>
  </si>
  <si>
    <t>1, 2,   3,4,  5</t>
  </si>
  <si>
    <t>Sheet1</t>
  </si>
  <si>
    <t>Sheet2</t>
  </si>
  <si>
    <r>
      <t xml:space="preserve">Search for value in Column A </t>
    </r>
    <r>
      <rPr>
        <b/>
        <i/>
        <sz val="10"/>
        <rFont val="Arial"/>
        <family val="2"/>
      </rPr>
      <t>from</t>
    </r>
    <r>
      <rPr>
        <sz val="10"/>
        <rFont val="Arial"/>
        <family val="2"/>
      </rPr>
      <t xml:space="preserve"> Sheet1 </t>
    </r>
    <r>
      <rPr>
        <b/>
        <i/>
        <sz val="10"/>
        <rFont val="Arial"/>
        <family val="2"/>
      </rPr>
      <t>in</t>
    </r>
    <r>
      <rPr>
        <sz val="10"/>
        <rFont val="Arial"/>
        <family val="2"/>
      </rPr>
      <t xml:space="preserve"> </t>
    </r>
    <r>
      <rPr>
        <sz val="10"/>
        <color rgb="FFC00000"/>
        <rFont val="Arial"/>
        <family val="2"/>
      </rPr>
      <t>Sheet2</t>
    </r>
    <r>
      <rPr>
        <sz val="10"/>
        <rFont val="Arial"/>
        <family val="2"/>
      </rPr>
      <t xml:space="preserve"> and obtain the corresponding value </t>
    </r>
    <r>
      <rPr>
        <b/>
        <i/>
        <sz val="10"/>
        <rFont val="Arial"/>
        <family val="2"/>
      </rPr>
      <t xml:space="preserve">from </t>
    </r>
    <r>
      <rPr>
        <sz val="10"/>
        <color rgb="FFC00000"/>
        <rFont val="Arial"/>
        <family val="2"/>
      </rPr>
      <t>Sheet2</t>
    </r>
    <r>
      <rPr>
        <sz val="10"/>
        <rFont val="Arial"/>
        <family val="2"/>
      </rPr>
      <t xml:space="preserve"> into Column B in Sheet1</t>
    </r>
  </si>
  <si>
    <t>Col A</t>
  </si>
  <si>
    <t>Col B</t>
  </si>
  <si>
    <t>customer bug</t>
  </si>
  <si>
    <t>Total "SBX*"</t>
  </si>
  <si>
    <r>
      <rPr>
        <sz val="10"/>
        <color rgb="FFFF0000"/>
        <rFont val="Arial"/>
        <family val="2"/>
      </rPr>
      <t>SBX-</t>
    </r>
    <r>
      <rPr>
        <sz val="10"/>
        <rFont val="Arial"/>
        <family val="2"/>
      </rPr>
      <t>1</t>
    </r>
  </si>
  <si>
    <r>
      <rPr>
        <sz val="10"/>
        <color rgb="FFFF0000"/>
        <rFont val="Arial"/>
        <family val="2"/>
      </rPr>
      <t>SBX-</t>
    </r>
    <r>
      <rPr>
        <sz val="10"/>
        <rFont val="Arial"/>
        <family val="2"/>
      </rPr>
      <t>2</t>
    </r>
  </si>
  <si>
    <r>
      <rPr>
        <sz val="10"/>
        <color rgb="FF00B050"/>
        <rFont val="Arial"/>
        <family val="2"/>
      </rPr>
      <t>SBXY</t>
    </r>
    <r>
      <rPr>
        <sz val="10"/>
        <rFont val="Arial"/>
        <family val="2"/>
      </rPr>
      <t>-2</t>
    </r>
  </si>
  <si>
    <r>
      <rPr>
        <sz val="10"/>
        <color rgb="FF00B050"/>
        <rFont val="Arial"/>
        <family val="2"/>
      </rPr>
      <t>SBXD-</t>
    </r>
    <r>
      <rPr>
        <sz val="10"/>
        <rFont val="Arial"/>
        <family val="2"/>
      </rPr>
      <t>2</t>
    </r>
  </si>
  <si>
    <r>
      <rPr>
        <sz val="10"/>
        <color rgb="FFFF0000"/>
        <rFont val="Arial"/>
        <family val="2"/>
      </rPr>
      <t>SBX</t>
    </r>
    <r>
      <rPr>
        <sz val="10"/>
        <rFont val="Arial"/>
        <family val="2"/>
      </rPr>
      <t>-3</t>
    </r>
  </si>
  <si>
    <r>
      <rPr>
        <sz val="10"/>
        <color rgb="FFFF0000"/>
        <rFont val="Arial"/>
        <family val="2"/>
      </rPr>
      <t>SBX</t>
    </r>
    <r>
      <rPr>
        <sz val="10"/>
        <rFont val="Arial"/>
        <family val="2"/>
      </rPr>
      <t>-4</t>
    </r>
    <r>
      <rPr>
        <sz val="11"/>
        <color theme="1"/>
        <rFont val="Calibri"/>
        <family val="2"/>
        <scheme val="minor"/>
      </rPr>
      <t/>
    </r>
  </si>
  <si>
    <r>
      <rPr>
        <sz val="10"/>
        <color rgb="FFFF0000"/>
        <rFont val="Arial"/>
        <family val="2"/>
      </rPr>
      <t>SBX</t>
    </r>
    <r>
      <rPr>
        <sz val="10"/>
        <rFont val="Arial"/>
        <family val="2"/>
      </rPr>
      <t>-5</t>
    </r>
    <r>
      <rPr>
        <sz val="11"/>
        <color theme="1"/>
        <rFont val="Calibri"/>
        <family val="2"/>
        <scheme val="minor"/>
      </rPr>
      <t/>
    </r>
  </si>
  <si>
    <r>
      <rPr>
        <sz val="10"/>
        <color rgb="FFFF0000"/>
        <rFont val="Arial"/>
        <family val="2"/>
      </rPr>
      <t>SBX</t>
    </r>
    <r>
      <rPr>
        <sz val="10"/>
        <rFont val="Arial"/>
        <family val="2"/>
      </rPr>
      <t>-6</t>
    </r>
    <r>
      <rPr>
        <sz val="11"/>
        <color theme="1"/>
        <rFont val="Calibri"/>
        <family val="2"/>
        <scheme val="minor"/>
      </rPr>
      <t/>
    </r>
  </si>
  <si>
    <r>
      <t>Count of "</t>
    </r>
    <r>
      <rPr>
        <i/>
        <sz val="10"/>
        <color rgb="FFFF0000"/>
        <rFont val="Arial"/>
        <family val="2"/>
      </rPr>
      <t>SBX-</t>
    </r>
    <r>
      <rPr>
        <i/>
        <sz val="10"/>
        <rFont val="Arial"/>
        <family val="2"/>
      </rPr>
      <t>"</t>
    </r>
  </si>
  <si>
    <r>
      <t>Count of "</t>
    </r>
    <r>
      <rPr>
        <i/>
        <sz val="10"/>
        <color rgb="FFFF0000"/>
        <rFont val="Arial"/>
        <family val="2"/>
      </rPr>
      <t>SBX-</t>
    </r>
    <r>
      <rPr>
        <i/>
        <sz val="10"/>
        <rFont val="Arial"/>
        <family val="2"/>
      </rPr>
      <t>" customer bugs</t>
    </r>
  </si>
  <si>
    <t>Split1: This is String-1</t>
  </si>
  <si>
    <t>Split2:This is String-2</t>
  </si>
  <si>
    <t>Split3 : This is String-3</t>
  </si>
  <si>
    <t xml:space="preserve">  Split4: This is String-4</t>
  </si>
  <si>
    <t>CCC</t>
  </si>
  <si>
    <t>DDD</t>
  </si>
  <si>
    <t>Compare Col-A</t>
  </si>
  <si>
    <t>With Col-B</t>
  </si>
  <si>
    <t>Get corresponding Col-A value upon match from Col-C</t>
  </si>
  <si>
    <t>Place the matched value from Col-C here</t>
  </si>
  <si>
    <t>Found/ Not Found?</t>
  </si>
  <si>
    <t>Status</t>
  </si>
  <si>
    <t>INS-38372</t>
  </si>
  <si>
    <t>Assigned</t>
  </si>
  <si>
    <t>INS-38309</t>
  </si>
  <si>
    <t>Closed</t>
  </si>
  <si>
    <t>INS-38256</t>
  </si>
  <si>
    <t>Open</t>
  </si>
  <si>
    <t>SBX-97645</t>
  </si>
  <si>
    <t>INS-38372,INS-38216</t>
  </si>
  <si>
    <t>INS-38309,INS-38216</t>
  </si>
  <si>
    <t>INS-38216</t>
  </si>
  <si>
    <t>Ready</t>
  </si>
  <si>
    <t>Bug</t>
  </si>
  <si>
    <t>1h:30m:40s</t>
  </si>
  <si>
    <t>2h:45m:30s</t>
  </si>
  <si>
    <t>2h:50m:30s</t>
  </si>
  <si>
    <t>3h:15m:30s</t>
  </si>
  <si>
    <t>4h:30m:30s</t>
  </si>
  <si>
    <t>Hour</t>
  </si>
  <si>
    <t>Minute</t>
  </si>
  <si>
    <t>Second</t>
  </si>
  <si>
    <t>Total Hours, rounded to 2</t>
  </si>
  <si>
    <t>Duration</t>
  </si>
  <si>
    <t>Career Start Date</t>
  </si>
  <si>
    <r>
      <t xml:space="preserve">Overall Experience </t>
    </r>
    <r>
      <rPr>
        <b/>
        <i/>
        <sz val="10"/>
        <color theme="0"/>
        <rFont val="Roboto"/>
      </rPr>
      <t>(years)</t>
    </r>
  </si>
  <si>
    <t xml:space="preserve"> Joining Date</t>
  </si>
  <si>
    <r>
      <t xml:space="preserve">Corporate Experience </t>
    </r>
    <r>
      <rPr>
        <b/>
        <i/>
        <sz val="10"/>
        <color theme="0"/>
        <rFont val="Roboto"/>
      </rPr>
      <t>(years)</t>
    </r>
  </si>
  <si>
    <t>#</t>
  </si>
  <si>
    <t>Description</t>
  </si>
  <si>
    <t>PQR</t>
  </si>
  <si>
    <t>STU</t>
  </si>
  <si>
    <t>VW</t>
  </si>
  <si>
    <t>AABC</t>
  </si>
  <si>
    <t>Insert Row above a specific text</t>
  </si>
  <si>
    <t>https://www.youtube.com/shorts/JHdnxUSGBLs</t>
  </si>
  <si>
    <t>Name</t>
  </si>
  <si>
    <t>Subject</t>
  </si>
  <si>
    <t>a1</t>
  </si>
  <si>
    <t>b1</t>
  </si>
  <si>
    <t>c1</t>
  </si>
  <si>
    <t>a2</t>
  </si>
  <si>
    <t>a3</t>
  </si>
  <si>
    <t>c3</t>
  </si>
  <si>
    <t>b3</t>
  </si>
  <si>
    <t>a4</t>
  </si>
  <si>
    <t>b2</t>
  </si>
  <si>
    <t>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</si>
</sst>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;@"/>
    <numFmt numFmtId="165" formatCode="0.0"/>
  </numFmts>
  <fonts count="58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D-DIN"/>
      <family val="2"/>
    </font>
    <font>
      <sz val="8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0"/>
      <name val="Tahoma"/>
      <family val="2"/>
    </font>
    <font>
      <sz val="10"/>
      <name val="Tahoma"/>
      <family val="2"/>
    </font>
    <font>
      <sz val="10"/>
      <color indexed="20"/>
      <name val="Gisha"/>
      <family val="2"/>
    </font>
    <font>
      <sz val="10"/>
      <color indexed="10"/>
      <name val="Tahoma"/>
      <family val="2"/>
    </font>
    <font>
      <sz val="10"/>
      <color indexed="10"/>
      <name val="Gisha"/>
      <family val="2"/>
    </font>
    <font>
      <sz val="10"/>
      <color indexed="63"/>
      <name val="Gisha"/>
      <family val="2"/>
    </font>
    <font>
      <sz val="10"/>
      <color indexed="63"/>
      <name val="Tahoma"/>
      <family val="2"/>
    </font>
    <font>
      <sz val="10"/>
      <color indexed="17"/>
      <name val="Gisha"/>
      <family val="2"/>
    </font>
    <font>
      <sz val="10"/>
      <color indexed="12"/>
      <name val="Gisha"/>
      <family val="2"/>
    </font>
    <font>
      <sz val="10"/>
      <name val="Gisha"/>
      <family val="2"/>
    </font>
    <font>
      <i/>
      <sz val="10"/>
      <name val="Arial"/>
      <family val="2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0"/>
      <color rgb="FFFFFFFF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9"/>
      <color rgb="FF9C6500"/>
      <name val="Arial"/>
      <family val="2"/>
    </font>
    <font>
      <i/>
      <sz val="9"/>
      <color theme="1"/>
      <name val="Arial"/>
      <family val="2"/>
    </font>
    <font>
      <sz val="10"/>
      <name val="Verdana"/>
      <family val="2"/>
    </font>
    <font>
      <u/>
      <sz val="10"/>
      <name val="Verdana"/>
      <family val="2"/>
    </font>
    <font>
      <b/>
      <sz val="10"/>
      <color rgb="FF0000FF"/>
      <name val="Verdana"/>
      <family val="2"/>
    </font>
    <font>
      <i/>
      <sz val="10"/>
      <name val="Verdana"/>
      <family val="2"/>
    </font>
    <font>
      <sz val="10"/>
      <color rgb="FFFF0000"/>
      <name val="Verdana"/>
      <family val="2"/>
    </font>
    <font>
      <b/>
      <i/>
      <sz val="10"/>
      <name val="Verdana"/>
      <family val="2"/>
    </font>
    <font>
      <u/>
      <sz val="10"/>
      <color theme="10"/>
      <name val="Arial"/>
      <family val="2"/>
    </font>
    <font>
      <u/>
      <sz val="10"/>
      <color theme="10"/>
      <name val="Verdana"/>
      <family val="2"/>
    </font>
    <font>
      <sz val="10"/>
      <color rgb="FFC00000"/>
      <name val="Arial"/>
      <family val="2"/>
    </font>
    <font>
      <b/>
      <sz val="10"/>
      <color theme="0"/>
      <name val="Arial"/>
      <family val="2"/>
    </font>
    <font>
      <b/>
      <sz val="10"/>
      <color rgb="FFC00000"/>
      <name val="Arial"/>
      <family val="2"/>
    </font>
    <font>
      <sz val="10"/>
      <color rgb="FFFF0000"/>
      <name val="Arial"/>
      <family val="2"/>
    </font>
    <font>
      <sz val="10"/>
      <color rgb="FF00B050"/>
      <name val="Arial"/>
      <family val="2"/>
    </font>
    <font>
      <i/>
      <sz val="10"/>
      <color rgb="FFFF0000"/>
      <name val="Arial"/>
      <family val="2"/>
    </font>
    <font>
      <sz val="8"/>
      <color theme="1"/>
      <name val="Arial"/>
      <family val="2"/>
    </font>
    <font>
      <sz val="11"/>
      <color theme="0"/>
      <name val="Calibri"/>
      <family val="2"/>
      <scheme val="minor"/>
    </font>
    <font>
      <b/>
      <sz val="9"/>
      <color theme="0"/>
      <name val="Arial"/>
      <family val="2"/>
    </font>
    <font>
      <b/>
      <sz val="11"/>
      <color theme="1"/>
      <name val="D-DIN"/>
      <family val="2"/>
    </font>
    <font>
      <sz val="11"/>
      <name val="Arial"/>
      <family val="2"/>
    </font>
    <font>
      <b/>
      <sz val="10"/>
      <color theme="0"/>
      <name val="Roboto"/>
    </font>
    <font>
      <b/>
      <i/>
      <sz val="10"/>
      <color theme="0"/>
      <name val="Roboto"/>
    </font>
    <font>
      <sz val="10"/>
      <color rgb="FF000000"/>
      <name val="Roboto"/>
    </font>
    <font>
      <sz val="12"/>
      <color rgb="FF0070C0"/>
      <name val="Arial"/>
      <family val="2"/>
    </font>
    <font>
      <sz val="11"/>
      <color rgb="FF000000"/>
      <name val="Arial"/>
      <family val="2"/>
    </font>
    <font>
      <b/>
      <sz val="10"/>
      <color theme="1"/>
      <name val="Roboto"/>
    </font>
    <font>
      <b/>
      <sz val="11"/>
      <name val="Aptos"/>
      <family val="2"/>
    </font>
    <font>
      <sz val="11"/>
      <name val="Aptos"/>
      <family val="2"/>
    </font>
  </fonts>
  <fills count="3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4" tint="0.59999389629810485"/>
        <bgColor indexed="65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6B82B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ashed">
        <color theme="3" tint="0.39994506668294322"/>
      </left>
      <right style="dashed">
        <color theme="3" tint="0.39994506668294322"/>
      </right>
      <top style="dashed">
        <color theme="3" tint="0.39994506668294322"/>
      </top>
      <bottom style="dashed">
        <color theme="3" tint="0.39994506668294322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rgb="FFC00000"/>
      </left>
      <right/>
      <top style="thick">
        <color rgb="FFC00000"/>
      </top>
      <bottom/>
      <diagonal/>
    </border>
    <border>
      <left/>
      <right style="thick">
        <color rgb="FFC00000"/>
      </right>
      <top style="thick">
        <color rgb="FFC00000"/>
      </top>
      <bottom/>
      <diagonal/>
    </border>
    <border>
      <left style="thick">
        <color rgb="FFC00000"/>
      </left>
      <right/>
      <top/>
      <bottom/>
      <diagonal/>
    </border>
    <border>
      <left/>
      <right style="thick">
        <color rgb="FFC00000"/>
      </right>
      <top/>
      <bottom/>
      <diagonal/>
    </border>
    <border>
      <left style="thick">
        <color rgb="FFC00000"/>
      </left>
      <right/>
      <top/>
      <bottom style="thick">
        <color rgb="FFC00000"/>
      </bottom>
      <diagonal/>
    </border>
    <border>
      <left/>
      <right style="thick">
        <color rgb="FFC00000"/>
      </right>
      <top/>
      <bottom style="thick">
        <color rgb="FFC00000"/>
      </bottom>
      <diagonal/>
    </border>
    <border>
      <left style="thin">
        <color theme="3" tint="-0.24994659260841701"/>
      </left>
      <right style="thin">
        <color theme="3" tint="-0.24994659260841701"/>
      </right>
      <top style="thin">
        <color theme="3" tint="-0.24994659260841701"/>
      </top>
      <bottom style="thin">
        <color theme="3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14990691854609822"/>
      </left>
      <right style="thin">
        <color theme="0" tint="-0.14990691854609822"/>
      </right>
      <top style="thin">
        <color theme="0" tint="-0.14990691854609822"/>
      </top>
      <bottom style="thin">
        <color theme="0" tint="-0.14990691854609822"/>
      </bottom>
      <diagonal/>
    </border>
  </borders>
  <cellStyleXfs count="9">
    <xf numFmtId="0" fontId="0" fillId="0" borderId="0"/>
    <xf numFmtId="0" fontId="19" fillId="6" borderId="0" applyNumberFormat="0" applyBorder="0" applyAlignment="0" applyProtection="0"/>
    <xf numFmtId="0" fontId="20" fillId="7" borderId="0" applyNumberFormat="0" applyBorder="0" applyAlignment="0" applyProtection="0"/>
    <xf numFmtId="0" fontId="21" fillId="8" borderId="9" applyNumberFormat="0" applyAlignment="0" applyProtection="0"/>
    <xf numFmtId="0" fontId="22" fillId="9" borderId="0" applyNumberFormat="0" applyBorder="0" applyAlignment="0" applyProtection="0"/>
    <xf numFmtId="0" fontId="23" fillId="10" borderId="0" applyNumberFormat="0" applyBorder="0" applyAlignment="0" applyProtection="0"/>
    <xf numFmtId="0" fontId="6" fillId="11" borderId="10" applyNumberFormat="0" applyFont="0" applyAlignment="0" applyProtection="0"/>
    <xf numFmtId="0" fontId="37" fillId="0" borderId="0" applyNumberFormat="0" applyFill="0" applyBorder="0" applyAlignment="0" applyProtection="0"/>
    <xf numFmtId="0" fontId="46" fillId="24" borderId="0" applyNumberFormat="0" applyBorder="0" applyAlignment="0" applyProtection="0"/>
  </cellStyleXfs>
  <cellXfs count="119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4" borderId="0" xfId="0" applyFill="1"/>
    <xf numFmtId="0" fontId="23" fillId="10" borderId="0" xfId="5" applyAlignment="1">
      <alignment horizontal="center" vertical="center"/>
    </xf>
    <xf numFmtId="0" fontId="24" fillId="8" borderId="9" xfId="3" applyFont="1"/>
    <xf numFmtId="0" fontId="24" fillId="8" borderId="9" xfId="3" applyFont="1" applyAlignment="1">
      <alignment horizontal="center" vertical="center"/>
    </xf>
    <xf numFmtId="0" fontId="20" fillId="7" borderId="0" xfId="2"/>
    <xf numFmtId="0" fontId="22" fillId="9" borderId="0" xfId="4"/>
    <xf numFmtId="0" fontId="7" fillId="11" borderId="10" xfId="6" applyFont="1"/>
    <xf numFmtId="0" fontId="25" fillId="10" borderId="0" xfId="5" applyFont="1" applyAlignment="1">
      <alignment horizontal="center" vertic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5" fontId="19" fillId="6" borderId="0" xfId="1" applyNumberFormat="1" applyAlignment="1">
      <alignment horizontal="center" vertical="center"/>
    </xf>
    <xf numFmtId="0" fontId="19" fillId="6" borderId="0" xfId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10" fillId="0" borderId="5" xfId="0" applyFont="1" applyBorder="1" applyAlignment="1">
      <alignment horizontal="left" vertical="center"/>
    </xf>
    <xf numFmtId="0" fontId="10" fillId="0" borderId="5" xfId="0" applyFont="1" applyBorder="1" applyAlignment="1">
      <alignment horizontal="center" vertical="center"/>
    </xf>
    <xf numFmtId="0" fontId="11" fillId="0" borderId="5" xfId="0" applyFont="1" applyBorder="1"/>
    <xf numFmtId="0" fontId="12" fillId="0" borderId="5" xfId="0" applyFont="1" applyBorder="1" applyAlignment="1">
      <alignment horizontal="center" vertical="center"/>
    </xf>
    <xf numFmtId="0" fontId="11" fillId="0" borderId="0" xfId="0" applyFont="1"/>
    <xf numFmtId="0" fontId="13" fillId="0" borderId="5" xfId="0" applyFont="1" applyBorder="1" applyAlignment="1">
      <alignment horizontal="left" vertical="center"/>
    </xf>
    <xf numFmtId="0" fontId="13" fillId="0" borderId="5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5" fillId="0" borderId="5" xfId="0" applyFont="1" applyBorder="1" applyAlignment="1">
      <alignment horizontal="left" vertical="center"/>
    </xf>
    <xf numFmtId="0" fontId="15" fillId="0" borderId="5" xfId="0" applyFont="1" applyBorder="1" applyAlignment="1">
      <alignment horizontal="center" vertical="center"/>
    </xf>
    <xf numFmtId="0" fontId="16" fillId="0" borderId="5" xfId="0" applyFont="1" applyBorder="1" applyAlignment="1">
      <alignment horizontal="left" vertical="center"/>
    </xf>
    <xf numFmtId="0" fontId="16" fillId="0" borderId="5" xfId="0" applyFont="1" applyBorder="1" applyAlignment="1">
      <alignment horizontal="center" vertical="center"/>
    </xf>
    <xf numFmtId="0" fontId="17" fillId="0" borderId="5" xfId="0" applyFont="1" applyBorder="1" applyAlignment="1">
      <alignment horizontal="left" vertical="center"/>
    </xf>
    <xf numFmtId="0" fontId="17" fillId="0" borderId="5" xfId="0" applyFont="1" applyBorder="1" applyAlignment="1">
      <alignment horizontal="center" vertical="center"/>
    </xf>
    <xf numFmtId="0" fontId="9" fillId="0" borderId="5" xfId="0" applyFont="1" applyBorder="1" applyAlignment="1">
      <alignment horizontal="center"/>
    </xf>
    <xf numFmtId="0" fontId="6" fillId="0" borderId="0" xfId="0" applyFont="1"/>
    <xf numFmtId="49" fontId="6" fillId="0" borderId="0" xfId="0" applyNumberFormat="1" applyFont="1"/>
    <xf numFmtId="49" fontId="0" fillId="0" borderId="0" xfId="0" applyNumberFormat="1" applyAlignment="1">
      <alignment horizontal="left" vertical="top"/>
    </xf>
    <xf numFmtId="0" fontId="18" fillId="0" borderId="0" xfId="0" applyFont="1"/>
    <xf numFmtId="0" fontId="18" fillId="0" borderId="5" xfId="0" applyFont="1" applyBorder="1"/>
    <xf numFmtId="0" fontId="8" fillId="12" borderId="5" xfId="0" applyFont="1" applyFill="1" applyBorder="1" applyAlignment="1">
      <alignment horizontal="center" vertical="center"/>
    </xf>
    <xf numFmtId="0" fontId="8" fillId="12" borderId="6" xfId="0" applyFont="1" applyFill="1" applyBorder="1" applyAlignment="1">
      <alignment horizontal="center" vertical="center"/>
    </xf>
    <xf numFmtId="0" fontId="26" fillId="13" borderId="0" xfId="0" applyFont="1" applyFill="1" applyAlignment="1">
      <alignment horizontal="center" wrapText="1"/>
    </xf>
    <xf numFmtId="0" fontId="6" fillId="14" borderId="0" xfId="0" applyFont="1" applyFill="1" applyAlignment="1">
      <alignment horizontal="center" vertical="top" wrapText="1"/>
    </xf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27" fillId="19" borderId="1" xfId="0" applyFont="1" applyFill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9" fillId="10" borderId="1" xfId="5" applyFont="1" applyBorder="1" applyAlignment="1">
      <alignment horizontal="center" vertical="center"/>
    </xf>
    <xf numFmtId="49" fontId="29" fillId="10" borderId="1" xfId="5" applyNumberFormat="1" applyFont="1" applyBorder="1" applyAlignment="1">
      <alignment horizontal="center" vertical="center"/>
    </xf>
    <xf numFmtId="0" fontId="28" fillId="0" borderId="1" xfId="0" applyFont="1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164" fontId="0" fillId="0" borderId="0" xfId="0" applyNumberFormat="1"/>
    <xf numFmtId="0" fontId="4" fillId="0" borderId="0" xfId="0" applyFont="1" applyAlignment="1">
      <alignment horizontal="center" vertical="top"/>
    </xf>
    <xf numFmtId="0" fontId="31" fillId="0" borderId="0" xfId="0" applyFont="1"/>
    <xf numFmtId="0" fontId="31" fillId="0" borderId="11" xfId="0" applyFont="1" applyBorder="1" applyAlignment="1">
      <alignment horizontal="center" vertical="top"/>
    </xf>
    <xf numFmtId="0" fontId="31" fillId="0" borderId="11" xfId="0" applyFont="1" applyBorder="1"/>
    <xf numFmtId="0" fontId="31" fillId="20" borderId="0" xfId="0" applyFont="1" applyFill="1"/>
    <xf numFmtId="0" fontId="34" fillId="0" borderId="0" xfId="0" applyFont="1"/>
    <xf numFmtId="0" fontId="37" fillId="0" borderId="0" xfId="7"/>
    <xf numFmtId="0" fontId="5" fillId="22" borderId="14" xfId="0" applyFont="1" applyFill="1" applyBorder="1" applyAlignment="1">
      <alignment horizontal="center" vertical="center"/>
    </xf>
    <xf numFmtId="0" fontId="5" fillId="22" borderId="15" xfId="0" applyFont="1" applyFill="1" applyBorder="1" applyAlignment="1">
      <alignment horizontal="center" vertical="center"/>
    </xf>
    <xf numFmtId="0" fontId="5" fillId="23" borderId="20" xfId="0" applyFont="1" applyFill="1" applyBorder="1" applyAlignment="1">
      <alignment horizontal="center" vertical="center"/>
    </xf>
    <xf numFmtId="0" fontId="5" fillId="23" borderId="21" xfId="0" applyFont="1" applyFill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38" fillId="19" borderId="0" xfId="7" applyFont="1" applyFill="1" applyAlignment="1">
      <alignment wrapText="1"/>
    </xf>
    <xf numFmtId="0" fontId="0" fillId="0" borderId="1" xfId="0" applyBorder="1"/>
    <xf numFmtId="0" fontId="18" fillId="0" borderId="24" xfId="0" applyFont="1" applyBorder="1"/>
    <xf numFmtId="0" fontId="6" fillId="0" borderId="1" xfId="0" applyFont="1" applyBorder="1" applyAlignment="1">
      <alignment horizontal="center" vertical="top"/>
    </xf>
    <xf numFmtId="0" fontId="4" fillId="0" borderId="24" xfId="0" applyFont="1" applyBorder="1" applyAlignment="1">
      <alignment horizontal="center" vertical="top"/>
    </xf>
    <xf numFmtId="0" fontId="4" fillId="17" borderId="24" xfId="0" applyFont="1" applyFill="1" applyBorder="1" applyAlignment="1">
      <alignment horizontal="center" vertical="top"/>
    </xf>
    <xf numFmtId="0" fontId="45" fillId="0" borderId="25" xfId="0" applyFont="1" applyBorder="1" applyAlignment="1">
      <alignment horizontal="left" vertical="top"/>
    </xf>
    <xf numFmtId="0" fontId="45" fillId="0" borderId="25" xfId="0" applyFont="1" applyBorder="1" applyAlignment="1">
      <alignment horizontal="center" vertical="top"/>
    </xf>
    <xf numFmtId="0" fontId="47" fillId="24" borderId="9" xfId="8" applyFont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top"/>
    </xf>
    <xf numFmtId="0" fontId="48" fillId="26" borderId="26" xfId="0" applyFont="1" applyFill="1" applyBorder="1" applyAlignment="1">
      <alignment horizontal="center" vertical="center" wrapText="1"/>
    </xf>
    <xf numFmtId="0" fontId="49" fillId="0" borderId="0" xfId="0" applyFont="1"/>
    <xf numFmtId="0" fontId="48" fillId="25" borderId="26" xfId="0" applyFont="1" applyFill="1" applyBorder="1" applyAlignment="1">
      <alignment horizontal="center" vertical="center" wrapText="1"/>
    </xf>
    <xf numFmtId="0" fontId="2" fillId="0" borderId="26" xfId="0" applyFont="1" applyBorder="1" applyAlignment="1">
      <alignment horizontal="left" vertical="top"/>
    </xf>
    <xf numFmtId="0" fontId="2" fillId="0" borderId="26" xfId="0" applyFont="1" applyBorder="1" applyAlignment="1">
      <alignment horizontal="center" vertical="top"/>
    </xf>
    <xf numFmtId="0" fontId="48" fillId="27" borderId="26" xfId="0" applyFont="1" applyFill="1" applyBorder="1" applyAlignment="1">
      <alignment horizontal="center" vertical="center" wrapText="1"/>
    </xf>
    <xf numFmtId="0" fontId="50" fillId="28" borderId="1" xfId="0" applyFont="1" applyFill="1" applyBorder="1" applyAlignment="1">
      <alignment horizontal="center" vertical="center" wrapText="1"/>
    </xf>
    <xf numFmtId="15" fontId="52" fillId="0" borderId="1" xfId="0" applyNumberFormat="1" applyFont="1" applyBorder="1" applyAlignment="1">
      <alignment horizontal="right" vertical="center"/>
    </xf>
    <xf numFmtId="165" fontId="52" fillId="0" borderId="1" xfId="0" applyNumberFormat="1" applyFont="1" applyBorder="1" applyAlignment="1">
      <alignment horizontal="center" vertical="center"/>
    </xf>
    <xf numFmtId="0" fontId="52" fillId="0" borderId="1" xfId="0" applyFont="1" applyBorder="1" applyAlignment="1">
      <alignment horizontal="right" vertical="center"/>
    </xf>
    <xf numFmtId="0" fontId="53" fillId="0" borderId="0" xfId="0" applyFont="1" applyAlignment="1">
      <alignment horizontal="center" vertical="center"/>
    </xf>
    <xf numFmtId="0" fontId="54" fillId="0" borderId="0" xfId="0" applyFont="1" applyAlignment="1">
      <alignment horizontal="left" vertical="center"/>
    </xf>
    <xf numFmtId="0" fontId="55" fillId="29" borderId="27" xfId="0" applyFont="1" applyFill="1" applyBorder="1" applyAlignment="1">
      <alignment horizontal="center" vertical="center" wrapText="1"/>
    </xf>
    <xf numFmtId="0" fontId="0" fillId="0" borderId="27" xfId="0" applyBorder="1" applyAlignment="1">
      <alignment horizontal="center"/>
    </xf>
    <xf numFmtId="0" fontId="0" fillId="0" borderId="27" xfId="0" applyBorder="1"/>
    <xf numFmtId="0" fontId="0" fillId="30" borderId="27" xfId="0" applyFill="1" applyBorder="1" applyAlignment="1">
      <alignment horizontal="center"/>
    </xf>
    <xf numFmtId="0" fontId="0" fillId="30" borderId="27" xfId="0" applyFill="1" applyBorder="1"/>
    <xf numFmtId="0" fontId="56" fillId="31" borderId="1" xfId="0" applyFont="1" applyFill="1" applyBorder="1" applyAlignment="1">
      <alignment horizontal="center" vertical="top"/>
    </xf>
    <xf numFmtId="0" fontId="57" fillId="0" borderId="0" xfId="0" applyFont="1"/>
    <xf numFmtId="0" fontId="56" fillId="32" borderId="1" xfId="0" applyFont="1" applyFill="1" applyBorder="1" applyAlignment="1">
      <alignment horizontal="center" vertical="top"/>
    </xf>
    <xf numFmtId="0" fontId="57" fillId="0" borderId="1" xfId="0" applyFont="1" applyBorder="1" applyAlignment="1">
      <alignment horizontal="center" vertical="top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left" vertical="center"/>
    </xf>
    <xf numFmtId="0" fontId="30" fillId="0" borderId="0" xfId="0" applyFont="1" applyAlignment="1">
      <alignment horizontal="left" vertical="top"/>
    </xf>
    <xf numFmtId="0" fontId="36" fillId="19" borderId="11" xfId="0" applyFont="1" applyFill="1" applyBorder="1" applyAlignment="1">
      <alignment horizontal="center"/>
    </xf>
    <xf numFmtId="0" fontId="38" fillId="19" borderId="11" xfId="7" applyFont="1" applyFill="1" applyBorder="1" applyAlignment="1">
      <alignment horizontal="center"/>
    </xf>
    <xf numFmtId="0" fontId="40" fillId="21" borderId="12" xfId="0" applyFont="1" applyFill="1" applyBorder="1" applyAlignment="1">
      <alignment horizontal="center"/>
    </xf>
    <xf numFmtId="0" fontId="40" fillId="21" borderId="13" xfId="0" applyFont="1" applyFill="1" applyBorder="1" applyAlignment="1">
      <alignment horizontal="center"/>
    </xf>
    <xf numFmtId="0" fontId="41" fillId="21" borderId="18" xfId="0" applyFont="1" applyFill="1" applyBorder="1" applyAlignment="1">
      <alignment horizontal="center"/>
    </xf>
    <xf numFmtId="0" fontId="41" fillId="21" borderId="19" xfId="0" applyFont="1" applyFill="1" applyBorder="1" applyAlignment="1">
      <alignment horizontal="center"/>
    </xf>
  </cellXfs>
  <cellStyles count="9">
    <cellStyle name="40% - Accent1" xfId="1" builtinId="31"/>
    <cellStyle name="Accent2" xfId="8" builtinId="33"/>
    <cellStyle name="Bad" xfId="2" builtinId="27"/>
    <cellStyle name="Calculation" xfId="3" builtinId="22"/>
    <cellStyle name="Good" xfId="4" builtinId="26"/>
    <cellStyle name="Hyperlink" xfId="7" builtinId="8"/>
    <cellStyle name="Neutral" xfId="5" builtinId="28"/>
    <cellStyle name="Normal" xfId="0" builtinId="0"/>
    <cellStyle name="Note" xfId="6" builtinId="10"/>
  </cellStyles>
  <dxfs count="4">
    <dxf>
      <font>
        <color theme="6" tint="0.39994506668294322"/>
      </font>
    </dxf>
    <dxf>
      <font>
        <color auto="1"/>
      </font>
    </dxf>
    <dxf>
      <numFmt numFmtId="0" formatCode="General"/>
      <fill>
        <gradientFill type="path">
          <stop position="0">
            <color theme="0"/>
          </stop>
          <stop position="1">
            <color theme="6" tint="-0.25098422193060094"/>
          </stop>
        </gradientFill>
      </fill>
    </dxf>
    <dxf>
      <fill>
        <gradientFill degree="90">
          <stop position="0">
            <color theme="0"/>
          </stop>
          <stop position="1">
            <color theme="4"/>
          </stop>
        </gradient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285750</xdr:colOff>
      <xdr:row>9</xdr:row>
      <xdr:rowOff>76200</xdr:rowOff>
    </xdr:from>
    <xdr:to>
      <xdr:col>9</xdr:col>
      <xdr:colOff>190500</xdr:colOff>
      <xdr:row>22</xdr:row>
      <xdr:rowOff>114300</xdr:rowOff>
    </xdr:to>
    <xdr:pic>
      <xdr:nvPicPr>
        <xdr:cNvPr id="1050" name="Picture 2">
          <a:extLst>
            <a:ext uri="{FF2B5EF4-FFF2-40B4-BE49-F238E27FC236}">
              <a16:creationId xmlns:a16="http://schemas.microsoft.com/office/drawing/2014/main" id="{00000000-0008-0000-0000-00001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2171700"/>
          <a:ext cx="7905750" cy="2143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257175</xdr:rowOff>
    </xdr:from>
    <xdr:to>
      <xdr:col>9</xdr:col>
      <xdr:colOff>228600</xdr:colOff>
      <xdr:row>2</xdr:row>
      <xdr:rowOff>114300</xdr:rowOff>
    </xdr:to>
    <xdr:grpSp>
      <xdr:nvGrpSpPr>
        <xdr:cNvPr id="5127" name="Group 3">
          <a:extLst>
            <a:ext uri="{FF2B5EF4-FFF2-40B4-BE49-F238E27FC236}">
              <a16:creationId xmlns:a16="http://schemas.microsoft.com/office/drawing/2014/main" id="{00000000-0008-0000-0800-000007140000}"/>
            </a:ext>
          </a:extLst>
        </xdr:cNvPr>
        <xdr:cNvGrpSpPr>
          <a:grpSpLocks/>
        </xdr:cNvGrpSpPr>
      </xdr:nvGrpSpPr>
      <xdr:grpSpPr bwMode="auto">
        <a:xfrm>
          <a:off x="3048000" y="257175"/>
          <a:ext cx="2667000" cy="492125"/>
          <a:chOff x="3048000" y="257175"/>
          <a:chExt cx="2667000" cy="504825"/>
        </a:xfrm>
      </xdr:grpSpPr>
      <xdr:cxnSp macro="">
        <xdr:nvCxnSpPr>
          <xdr:cNvPr id="2" name="Straight Arrow Connector 1">
            <a:extLst>
              <a:ext uri="{FF2B5EF4-FFF2-40B4-BE49-F238E27FC236}">
                <a16:creationId xmlns:a16="http://schemas.microsoft.com/office/drawing/2014/main" id="{00000000-0008-0000-0800-000002000000}"/>
              </a:ext>
            </a:extLst>
          </xdr:cNvPr>
          <xdr:cNvCxnSpPr/>
        </xdr:nvCxnSpPr>
        <xdr:spPr>
          <a:xfrm flipH="1" flipV="1">
            <a:off x="3048000" y="409575"/>
            <a:ext cx="600075" cy="76200"/>
          </a:xfrm>
          <a:prstGeom prst="straightConnector1">
            <a:avLst/>
          </a:prstGeom>
          <a:ln>
            <a:tailEnd type="arrow"/>
          </a:ln>
        </xdr:spPr>
        <xdr:style>
          <a:lnRef idx="3">
            <a:schemeClr val="accent4"/>
          </a:lnRef>
          <a:fillRef idx="0">
            <a:schemeClr val="accent4"/>
          </a:fillRef>
          <a:effectRef idx="2">
            <a:schemeClr val="accent4"/>
          </a:effectRef>
          <a:fontRef idx="minor">
            <a:schemeClr val="tx1"/>
          </a:fontRef>
        </xdr:style>
      </xdr:cxnSp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00000000-0008-0000-0800-000003000000}"/>
              </a:ext>
            </a:extLst>
          </xdr:cNvPr>
          <xdr:cNvSpPr/>
        </xdr:nvSpPr>
        <xdr:spPr>
          <a:xfrm>
            <a:off x="3629025" y="257175"/>
            <a:ext cx="2085975" cy="504825"/>
          </a:xfrm>
          <a:prstGeom prst="rect">
            <a:avLst/>
          </a:prstGeom>
        </xdr:spPr>
        <xdr:style>
          <a:lnRef idx="0">
            <a:schemeClr val="accent4"/>
          </a:lnRef>
          <a:fillRef idx="3">
            <a:schemeClr val="accent4"/>
          </a:fillRef>
          <a:effectRef idx="3">
            <a:schemeClr val="accent4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100"/>
              <a:t>Make sure you format this cell to </a:t>
            </a:r>
            <a:r>
              <a:rPr lang="en-US" sz="1100" baseline="0"/>
              <a:t> enable wrap  text</a:t>
            </a:r>
            <a:endParaRPr lang="en-US" sz="1100"/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142875</xdr:rowOff>
    </xdr:from>
    <xdr:to>
      <xdr:col>7</xdr:col>
      <xdr:colOff>381000</xdr:colOff>
      <xdr:row>13</xdr:row>
      <xdr:rowOff>152400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923150E2-3519-4755-BAC6-E6114D743FA8}"/>
            </a:ext>
          </a:extLst>
        </xdr:cNvPr>
        <xdr:cNvSpPr/>
      </xdr:nvSpPr>
      <xdr:spPr>
        <a:xfrm>
          <a:off x="0" y="1771650"/>
          <a:ext cx="5991225" cy="676275"/>
        </a:xfrm>
        <a:prstGeom prst="round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=IF(LEN(A2)-LEN(SUBSTITUTE(A2,",",""))=0,VLOOKUP(A2,$D$2:$E$8,2,FALSE),TEXTJOIN(", ",TRUE,(VLOOKUP(LEFT(A2,SEARCH(",",A2)-1),$D$2:$E$8,2,FALSE)),(VLOOKUP(RIGHT(A2,LEN(A2)-SEARCH(",",A2)),$D$2:$E$8,2,FALSE))))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142875</xdr:colOff>
      <xdr:row>1</xdr:row>
      <xdr:rowOff>28575</xdr:rowOff>
    </xdr:from>
    <xdr:to>
      <xdr:col>6</xdr:col>
      <xdr:colOff>142875</xdr:colOff>
      <xdr:row>21</xdr:row>
      <xdr:rowOff>85514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560B998-16AC-19E7-688C-72BDFF59B3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2475" y="190500"/>
          <a:ext cx="3048000" cy="3295439"/>
        </a:xfrm>
        <a:prstGeom prst="rect">
          <a:avLst/>
        </a:prstGeom>
        <a:noFill/>
        <a:ln>
          <a:solidFill>
            <a:schemeClr val="bg1">
              <a:lumMod val="50000"/>
            </a:schemeClr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561975</xdr:colOff>
      <xdr:row>3</xdr:row>
      <xdr:rowOff>57150</xdr:rowOff>
    </xdr:from>
    <xdr:to>
      <xdr:col>11</xdr:col>
      <xdr:colOff>276225</xdr:colOff>
      <xdr:row>6</xdr:row>
      <xdr:rowOff>57150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BC1DE7ED-E28D-4749-54B2-84D278EE0909}"/>
            </a:ext>
          </a:extLst>
        </xdr:cNvPr>
        <xdr:cNvSpPr/>
      </xdr:nvSpPr>
      <xdr:spPr>
        <a:xfrm>
          <a:off x="3324225" y="542925"/>
          <a:ext cx="4591050" cy="485775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Excel formula to add serial numbers to a dataset containing blank rows</a:t>
          </a:r>
          <a:b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https://www.youtube.com/watch?v=ctXy-cRmp6M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http://www.excelforum.com/tips-and-tutorials/929969-list-worksheet-names-using-a-formula.html" TargetMode="External"/><Relationship Id="rId1" Type="http://schemas.openxmlformats.org/officeDocument/2006/relationships/hyperlink" Target="http://lostinexcel.blogspot.in/2011/12/formula-to-count-number-of-sheets-in.html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hyperlink" Target="http://support.microsoft.com/kb/214142" TargetMode="Externa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youtube.com/shorts/JHdnxUSGBL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6"/>
  <sheetViews>
    <sheetView workbookViewId="0">
      <selection activeCell="C2" sqref="C2"/>
    </sheetView>
  </sheetViews>
  <sheetFormatPr defaultRowHeight="12.5"/>
  <cols>
    <col min="1" max="1" width="17.7265625" customWidth="1"/>
    <col min="2" max="2" width="16" customWidth="1"/>
    <col min="3" max="3" width="14.1796875" customWidth="1"/>
    <col min="4" max="4" width="14" customWidth="1"/>
    <col min="5" max="5" width="16.54296875" customWidth="1"/>
    <col min="6" max="6" width="14.1796875" customWidth="1"/>
  </cols>
  <sheetData>
    <row r="1" spans="1:6" ht="29.25" customHeight="1">
      <c r="A1" s="1" t="s">
        <v>4</v>
      </c>
      <c r="B1" s="1" t="s">
        <v>5</v>
      </c>
      <c r="C1" s="109" t="s">
        <v>6</v>
      </c>
      <c r="D1" s="110"/>
      <c r="E1" s="109" t="s">
        <v>7</v>
      </c>
      <c r="F1" s="110"/>
    </row>
    <row r="2" spans="1:6" ht="19.5" customHeight="1">
      <c r="A2" s="2" t="s">
        <v>0</v>
      </c>
      <c r="B2" s="2">
        <v>123</v>
      </c>
      <c r="C2" s="3">
        <f>IF(COUNTIF(A:A,B:B)&lt;1,"", B2)</f>
        <v>123</v>
      </c>
      <c r="D2" s="3" t="str">
        <f>IF(COUNTIF($A$2:$B2,B2)&gt;1,B2,"")</f>
        <v/>
      </c>
      <c r="E2" s="3" t="str">
        <f>IF(COUNTIF(B:B,A:A)&lt;1,"", A2)</f>
        <v>abc</v>
      </c>
      <c r="F2" s="3" t="str">
        <f>IF(COUNTIF($A$2:$B2,B2)&gt;1,A2,"")</f>
        <v/>
      </c>
    </row>
    <row r="3" spans="1:6" ht="19.5" customHeight="1">
      <c r="A3" s="2" t="s">
        <v>1</v>
      </c>
      <c r="B3" s="2">
        <v>456</v>
      </c>
      <c r="C3" s="3" t="str">
        <f>IF(COUNTIF(A:A,B:B)&lt;1,"", B3)</f>
        <v/>
      </c>
      <c r="D3" s="3" t="str">
        <f>IF(COUNTIF($A$2:$B3,B3)&gt;1,B3,"")</f>
        <v/>
      </c>
      <c r="E3" s="3" t="str">
        <f>IF(COUNTIF(B:B,A:A)&lt;1,"", A3)</f>
        <v>def</v>
      </c>
      <c r="F3" s="3" t="str">
        <f>IF(COUNTIF($A$2:$B3,B3)&gt;1,A3,"")</f>
        <v/>
      </c>
    </row>
    <row r="4" spans="1:6" ht="19.5" customHeight="1">
      <c r="A4" s="2">
        <v>123</v>
      </c>
      <c r="B4" s="2" t="s">
        <v>0</v>
      </c>
      <c r="C4" s="3" t="str">
        <f>IF(COUNTIF(A:A,B:B)&lt;1,"", B4)</f>
        <v>abc</v>
      </c>
      <c r="D4" s="3" t="str">
        <f>IF(COUNTIF($A$2:$B4,B4)&gt;1,B4,"")</f>
        <v>abc</v>
      </c>
      <c r="E4" s="3">
        <f>IF(COUNTIF(B:B,A:A)&lt;1,"", A4)</f>
        <v>123</v>
      </c>
      <c r="F4" s="3">
        <f>IF(COUNTIF($A$2:$B4,B4)&gt;1,A4,"")</f>
        <v>123</v>
      </c>
    </row>
    <row r="5" spans="1:6" ht="19.5" customHeight="1">
      <c r="A5" s="2" t="s">
        <v>2</v>
      </c>
      <c r="B5" s="2">
        <v>789</v>
      </c>
      <c r="C5" s="3" t="str">
        <f>IF(COUNTIF(A:A,B:B)&lt;1,"", B5)</f>
        <v/>
      </c>
      <c r="D5" s="3" t="str">
        <f>IF(COUNTIF($A$2:$B5,B5)&gt;1,B5,"")</f>
        <v/>
      </c>
      <c r="E5" s="3" t="str">
        <f>IF(COUNTIF(B:B,A:A)&lt;1,"", A5)</f>
        <v/>
      </c>
      <c r="F5" s="3" t="str">
        <f>IF(COUNTIF($A$2:$B5,B5)&gt;1,A5,"")</f>
        <v/>
      </c>
    </row>
    <row r="6" spans="1:6" ht="19.5" customHeight="1">
      <c r="A6" s="2" t="s">
        <v>3</v>
      </c>
      <c r="B6" s="2" t="s">
        <v>1</v>
      </c>
      <c r="C6" s="3" t="str">
        <f>IF(COUNTIF(A:A,B:B)&lt;1,"", B6)</f>
        <v>def</v>
      </c>
      <c r="D6" s="3" t="str">
        <f>IF(COUNTIF($A$2:$B6,B6)&gt;1,B6,"")</f>
        <v>def</v>
      </c>
      <c r="E6" s="3" t="str">
        <f>IF(COUNTIF(B:B,A:A)&lt;1,"", A6)</f>
        <v/>
      </c>
      <c r="F6" s="3" t="str">
        <f>IF(COUNTIF($A$2:$B6,B6)&gt;1,A6,"")</f>
        <v>pqr</v>
      </c>
    </row>
  </sheetData>
  <mergeCells count="2">
    <mergeCell ref="C1:D1"/>
    <mergeCell ref="E1:F1"/>
  </mergeCells>
  <phoneticPr fontId="3" type="noConversion"/>
  <pageMargins left="0.75" right="0.75" top="1" bottom="1" header="0.5" footer="0.5"/>
  <pageSetup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D13"/>
  <sheetViews>
    <sheetView workbookViewId="0">
      <selection activeCell="D13" sqref="D13"/>
    </sheetView>
  </sheetViews>
  <sheetFormatPr defaultRowHeight="12.5"/>
  <cols>
    <col min="1" max="1" width="13" customWidth="1"/>
    <col min="2" max="2" width="14.453125" customWidth="1"/>
  </cols>
  <sheetData>
    <row r="1" spans="1:4" ht="21" customHeight="1">
      <c r="A1" s="4" t="s">
        <v>8</v>
      </c>
      <c r="B1" s="4" t="s">
        <v>9</v>
      </c>
    </row>
    <row r="2" spans="1:4">
      <c r="A2" s="5" t="s">
        <v>10</v>
      </c>
      <c r="B2" s="5" t="s">
        <v>12</v>
      </c>
    </row>
    <row r="3" spans="1:4">
      <c r="A3" s="6" t="s">
        <v>11</v>
      </c>
      <c r="B3" s="6" t="s">
        <v>13</v>
      </c>
    </row>
    <row r="4" spans="1:4">
      <c r="A4" s="6" t="s">
        <v>10</v>
      </c>
      <c r="B4" s="6" t="s">
        <v>12</v>
      </c>
    </row>
    <row r="5" spans="1:4">
      <c r="A5" s="6" t="s">
        <v>10</v>
      </c>
      <c r="B5" s="6" t="s">
        <v>14</v>
      </c>
    </row>
    <row r="6" spans="1:4">
      <c r="A6" s="6" t="s">
        <v>11</v>
      </c>
      <c r="B6" s="6" t="s">
        <v>12</v>
      </c>
    </row>
    <row r="7" spans="1:4">
      <c r="A7" s="6" t="s">
        <v>10</v>
      </c>
      <c r="B7" s="6" t="s">
        <v>15</v>
      </c>
    </row>
    <row r="8" spans="1:4">
      <c r="A8" s="6" t="s">
        <v>10</v>
      </c>
      <c r="B8" s="6" t="s">
        <v>12</v>
      </c>
    </row>
    <row r="9" spans="1:4">
      <c r="A9" s="6" t="s">
        <v>11</v>
      </c>
      <c r="B9" s="6" t="s">
        <v>13</v>
      </c>
    </row>
    <row r="10" spans="1:4">
      <c r="A10" s="7" t="s">
        <v>10</v>
      </c>
      <c r="B10" s="7" t="s">
        <v>14</v>
      </c>
    </row>
    <row r="13" spans="1:4" ht="13">
      <c r="A13" s="111" t="s">
        <v>16</v>
      </c>
      <c r="B13" s="111"/>
      <c r="C13" s="111"/>
      <c r="D13" s="8">
        <f>SUMPRODUCT((A2:A10="Car")*(B2:B10="Black"))</f>
        <v>3</v>
      </c>
    </row>
  </sheetData>
  <mergeCells count="1">
    <mergeCell ref="A13:C13"/>
  </mergeCells>
  <phoneticPr fontId="3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E22"/>
  <sheetViews>
    <sheetView workbookViewId="0">
      <selection activeCell="E2" sqref="E2"/>
    </sheetView>
  </sheetViews>
  <sheetFormatPr defaultRowHeight="12.5"/>
  <cols>
    <col min="1" max="1" width="15.26953125" customWidth="1"/>
    <col min="2" max="2" width="14.81640625" customWidth="1"/>
  </cols>
  <sheetData>
    <row r="1" spans="1:5" ht="14.5">
      <c r="A1" s="9" t="s">
        <v>17</v>
      </c>
      <c r="B1" s="9" t="s">
        <v>18</v>
      </c>
      <c r="D1" s="10" t="s">
        <v>17</v>
      </c>
      <c r="E1" s="11" t="s">
        <v>19</v>
      </c>
    </row>
    <row r="2" spans="1:5" ht="14.5">
      <c r="A2" s="12" t="s">
        <v>20</v>
      </c>
      <c r="B2" s="12">
        <v>1</v>
      </c>
      <c r="D2" t="s">
        <v>20</v>
      </c>
      <c r="E2">
        <f>SUMIF(A2:A7,D2,B2:B7)</f>
        <v>9</v>
      </c>
    </row>
    <row r="3" spans="1:5" ht="14.5">
      <c r="A3" s="13" t="s">
        <v>21</v>
      </c>
      <c r="B3" s="13">
        <v>2</v>
      </c>
      <c r="D3" t="s">
        <v>21</v>
      </c>
      <c r="E3">
        <f>SUMIF(A2:A7,D3,B2:B7)</f>
        <v>7</v>
      </c>
    </row>
    <row r="4" spans="1:5" ht="14.5">
      <c r="A4" s="12" t="s">
        <v>20</v>
      </c>
      <c r="B4" s="12">
        <v>3</v>
      </c>
      <c r="D4" t="s">
        <v>22</v>
      </c>
      <c r="E4">
        <f>SUMIF(A2:A7,D4,B2:B7)</f>
        <v>6</v>
      </c>
    </row>
    <row r="5" spans="1:5" ht="14.5">
      <c r="A5" s="12" t="s">
        <v>20</v>
      </c>
      <c r="B5" s="12">
        <v>5</v>
      </c>
    </row>
    <row r="6" spans="1:5" ht="14.5">
      <c r="A6" s="13" t="s">
        <v>21</v>
      </c>
      <c r="B6" s="13">
        <v>5</v>
      </c>
    </row>
    <row r="7" spans="1:5">
      <c r="A7" s="14" t="s">
        <v>22</v>
      </c>
      <c r="B7" s="14">
        <v>6</v>
      </c>
    </row>
    <row r="13" spans="1:5">
      <c r="A13" s="47" t="s">
        <v>20</v>
      </c>
      <c r="B13" s="47">
        <v>1</v>
      </c>
      <c r="C13" t="s">
        <v>20</v>
      </c>
      <c r="D13">
        <f>COUNTIF(A13:A22,C13)</f>
        <v>3</v>
      </c>
    </row>
    <row r="14" spans="1:5">
      <c r="A14" s="48" t="s">
        <v>21</v>
      </c>
      <c r="B14" s="48">
        <v>3</v>
      </c>
      <c r="C14" t="s">
        <v>21</v>
      </c>
      <c r="D14">
        <f>COUNTIF(A14:A23,C14)</f>
        <v>4</v>
      </c>
    </row>
    <row r="15" spans="1:5">
      <c r="A15" s="47" t="s">
        <v>20</v>
      </c>
      <c r="B15" s="47">
        <v>2</v>
      </c>
      <c r="C15" t="s">
        <v>22</v>
      </c>
      <c r="D15">
        <f>COUNTIF(A15:A24,C15)</f>
        <v>2</v>
      </c>
    </row>
    <row r="16" spans="1:5">
      <c r="A16" s="49" t="s">
        <v>22</v>
      </c>
      <c r="B16" s="49">
        <v>1</v>
      </c>
      <c r="C16" t="s">
        <v>64</v>
      </c>
      <c r="D16">
        <f>COUNTIF(A16:A25,C16)</f>
        <v>1</v>
      </c>
    </row>
    <row r="17" spans="1:2">
      <c r="A17" s="47" t="s">
        <v>20</v>
      </c>
      <c r="B17" s="47">
        <v>3</v>
      </c>
    </row>
    <row r="18" spans="1:2">
      <c r="A18" s="48" t="s">
        <v>21</v>
      </c>
      <c r="B18" s="48">
        <v>4</v>
      </c>
    </row>
    <row r="19" spans="1:2">
      <c r="A19" s="49" t="s">
        <v>22</v>
      </c>
      <c r="B19" s="49">
        <v>5</v>
      </c>
    </row>
    <row r="20" spans="1:2">
      <c r="A20" s="48" t="s">
        <v>21</v>
      </c>
      <c r="B20" s="48">
        <v>1</v>
      </c>
    </row>
    <row r="21" spans="1:2">
      <c r="A21" s="50" t="s">
        <v>64</v>
      </c>
      <c r="B21" s="50">
        <v>7</v>
      </c>
    </row>
    <row r="22" spans="1:2">
      <c r="A22" s="48" t="s">
        <v>21</v>
      </c>
      <c r="B22" s="48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G4"/>
  <sheetViews>
    <sheetView workbookViewId="0">
      <selection activeCell="A2" sqref="A2"/>
    </sheetView>
  </sheetViews>
  <sheetFormatPr defaultRowHeight="12.5"/>
  <cols>
    <col min="1" max="2" width="17.453125" customWidth="1"/>
  </cols>
  <sheetData>
    <row r="1" spans="1:7" ht="18" customHeight="1">
      <c r="A1" s="15" t="s">
        <v>23</v>
      </c>
      <c r="B1" s="15" t="s">
        <v>24</v>
      </c>
    </row>
    <row r="2" spans="1:7" ht="14.5">
      <c r="A2" s="16">
        <f>IF(B2=G2,F2,IF(B2=G3,F3,IF(B2=G4,F4,"TBD")))</f>
        <v>40360</v>
      </c>
      <c r="B2" s="17" t="s">
        <v>25</v>
      </c>
      <c r="F2" s="18">
        <v>40360</v>
      </c>
      <c r="G2" s="19" t="s">
        <v>25</v>
      </c>
    </row>
    <row r="3" spans="1:7" ht="14.5">
      <c r="A3" s="16">
        <f>IF(B3=G2,F2,IF(B3=G3,F3,IF(B3=G4,F4,"TBD")))</f>
        <v>40374</v>
      </c>
      <c r="B3" s="17" t="s">
        <v>26</v>
      </c>
      <c r="F3" s="18">
        <v>40374</v>
      </c>
      <c r="G3" s="19" t="s">
        <v>26</v>
      </c>
    </row>
    <row r="4" spans="1:7" ht="14.5">
      <c r="A4" s="16">
        <f>IF(B4=G2,F2,IF(B4=G3,F3,IF(B4=G4,F4,"TBD")))</f>
        <v>40382</v>
      </c>
      <c r="B4" s="17" t="s">
        <v>27</v>
      </c>
      <c r="F4" s="18">
        <v>40382</v>
      </c>
      <c r="G4" s="19" t="s">
        <v>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33"/>
  <sheetViews>
    <sheetView workbookViewId="0">
      <selection activeCell="J4" sqref="J4"/>
    </sheetView>
  </sheetViews>
  <sheetFormatPr defaultRowHeight="12.5"/>
  <cols>
    <col min="2" max="2" width="6.54296875" bestFit="1" customWidth="1"/>
    <col min="3" max="3" width="23.54296875" bestFit="1" customWidth="1"/>
    <col min="4" max="4" width="10.453125" customWidth="1"/>
    <col min="5" max="6" width="16.26953125" customWidth="1"/>
    <col min="7" max="7" width="11.26953125" bestFit="1" customWidth="1"/>
    <col min="8" max="8" width="23.81640625" bestFit="1" customWidth="1"/>
    <col min="9" max="10" width="20.7265625" customWidth="1"/>
  </cols>
  <sheetData>
    <row r="1" spans="1:12" ht="31.5" customHeight="1">
      <c r="A1" s="20" t="s">
        <v>56</v>
      </c>
      <c r="B1" s="20" t="s">
        <v>30</v>
      </c>
      <c r="C1" s="20" t="s">
        <v>31</v>
      </c>
      <c r="D1" s="21" t="s">
        <v>29</v>
      </c>
      <c r="E1" s="20" t="s">
        <v>28</v>
      </c>
      <c r="F1" s="20" t="s">
        <v>32</v>
      </c>
    </row>
    <row r="2" spans="1:12" ht="13">
      <c r="A2" s="42" t="s">
        <v>58</v>
      </c>
      <c r="B2" s="22">
        <v>1</v>
      </c>
      <c r="C2" s="23" t="s">
        <v>33</v>
      </c>
      <c r="D2" s="24">
        <v>1962</v>
      </c>
      <c r="E2" s="22" t="s">
        <v>34</v>
      </c>
      <c r="F2" s="36"/>
      <c r="G2" s="38"/>
      <c r="H2" s="39"/>
    </row>
    <row r="3" spans="1:12" ht="13">
      <c r="A3" s="42" t="s">
        <v>58</v>
      </c>
      <c r="B3" s="22">
        <f t="shared" ref="B3:B24" si="0">B2+1</f>
        <v>2</v>
      </c>
      <c r="C3" s="23" t="s">
        <v>35</v>
      </c>
      <c r="D3" s="24">
        <v>1983</v>
      </c>
      <c r="E3" s="22" t="s">
        <v>34</v>
      </c>
      <c r="F3" s="36"/>
      <c r="H3" s="43" t="s">
        <v>31</v>
      </c>
      <c r="I3" s="44" t="s">
        <v>29</v>
      </c>
      <c r="J3" s="43" t="s">
        <v>28</v>
      </c>
    </row>
    <row r="4" spans="1:12" ht="13">
      <c r="A4" s="42" t="s">
        <v>58</v>
      </c>
      <c r="B4" s="22">
        <f t="shared" si="0"/>
        <v>3</v>
      </c>
      <c r="C4" s="23" t="s">
        <v>36</v>
      </c>
      <c r="D4" s="24">
        <v>2008</v>
      </c>
      <c r="E4" s="22" t="s">
        <v>34</v>
      </c>
      <c r="F4" s="36"/>
      <c r="H4" s="40" t="str">
        <f>IF(ISNA(VLOOKUP("Yup!",A2:F24,3,FALSE)) = TRUE, "No movie chosen", VLOOKUP("Yup!",A2:F24,3,FALSE))</f>
        <v>Die Hard with a Vengeance</v>
      </c>
      <c r="I4" s="17">
        <f>IF(ISNA(VLOOKUP("Yup!",A2:F24,4,FALSE)) = TRUE, " ", VLOOKUP("Yup!",A2:F24,4,FALSE))</f>
        <v>1995</v>
      </c>
      <c r="J4" s="17" t="str">
        <f>IF(ISNA(VLOOKUP("Yup!",A2:F24,5,FALSE)) = TRUE, " ", VLOOKUP("Yup!",A2:F24,5,FALSE))</f>
        <v>Action</v>
      </c>
      <c r="L4" s="41" t="s">
        <v>57</v>
      </c>
    </row>
    <row r="5" spans="1:12" ht="13">
      <c r="A5" s="42" t="s">
        <v>58</v>
      </c>
      <c r="B5" s="22">
        <f t="shared" si="0"/>
        <v>4</v>
      </c>
      <c r="C5" s="25" t="s">
        <v>37</v>
      </c>
      <c r="D5" s="26">
        <v>1988</v>
      </c>
      <c r="E5" s="22" t="s">
        <v>34</v>
      </c>
      <c r="F5" s="37"/>
      <c r="H5" s="40"/>
      <c r="L5" s="38" t="s">
        <v>57</v>
      </c>
    </row>
    <row r="6" spans="1:12" ht="13">
      <c r="A6" s="42" t="s">
        <v>57</v>
      </c>
      <c r="B6" s="22">
        <f t="shared" si="0"/>
        <v>5</v>
      </c>
      <c r="C6" s="25" t="s">
        <v>38</v>
      </c>
      <c r="D6" s="26">
        <v>1995</v>
      </c>
      <c r="E6" s="22" t="s">
        <v>34</v>
      </c>
      <c r="F6" s="37"/>
    </row>
    <row r="7" spans="1:12" ht="13">
      <c r="A7" s="42" t="s">
        <v>58</v>
      </c>
      <c r="B7" s="22">
        <f t="shared" si="0"/>
        <v>6</v>
      </c>
      <c r="C7" s="25" t="s">
        <v>39</v>
      </c>
      <c r="D7" s="26">
        <v>1990</v>
      </c>
      <c r="E7" s="22" t="s">
        <v>34</v>
      </c>
      <c r="F7" s="37"/>
    </row>
    <row r="8" spans="1:12" ht="13">
      <c r="A8" s="42" t="s">
        <v>58</v>
      </c>
      <c r="B8" s="22">
        <f t="shared" si="0"/>
        <v>7</v>
      </c>
      <c r="C8" s="27" t="s">
        <v>40</v>
      </c>
      <c r="D8" s="26">
        <v>2007</v>
      </c>
      <c r="E8" s="22" t="s">
        <v>34</v>
      </c>
      <c r="F8" s="37"/>
      <c r="H8" t="str">
        <f>VLOOKUP("Yup!", A2:F24, 3, FALSE)</f>
        <v>Die Hard with a Vengeance</v>
      </c>
    </row>
    <row r="9" spans="1:12" ht="13">
      <c r="A9" s="42" t="s">
        <v>58</v>
      </c>
      <c r="B9" s="22">
        <f t="shared" si="0"/>
        <v>8</v>
      </c>
      <c r="C9" s="28" t="s">
        <v>41</v>
      </c>
      <c r="D9" s="29">
        <v>1973</v>
      </c>
      <c r="E9" s="30" t="s">
        <v>34</v>
      </c>
      <c r="F9" s="37"/>
    </row>
    <row r="10" spans="1:12" ht="13">
      <c r="A10" s="42" t="s">
        <v>58</v>
      </c>
      <c r="B10" s="22">
        <f t="shared" si="0"/>
        <v>9</v>
      </c>
      <c r="C10" s="28" t="s">
        <v>42</v>
      </c>
      <c r="D10" s="29">
        <v>1983</v>
      </c>
      <c r="E10" s="30" t="s">
        <v>34</v>
      </c>
      <c r="F10" s="37"/>
      <c r="H10" t="str">
        <f>LOOKUP("Yup!",A2:A24,C2:C24)</f>
        <v>Body of Lies</v>
      </c>
    </row>
    <row r="11" spans="1:12" ht="13">
      <c r="A11" s="42" t="s">
        <v>58</v>
      </c>
      <c r="B11" s="22">
        <f t="shared" si="0"/>
        <v>10</v>
      </c>
      <c r="C11" s="28" t="s">
        <v>43</v>
      </c>
      <c r="D11" s="29">
        <v>1976</v>
      </c>
      <c r="E11" s="30" t="s">
        <v>34</v>
      </c>
      <c r="F11" s="37"/>
    </row>
    <row r="12" spans="1:12" ht="13">
      <c r="A12" s="42" t="s">
        <v>58</v>
      </c>
      <c r="B12" s="22">
        <f t="shared" si="0"/>
        <v>11</v>
      </c>
      <c r="C12" s="31" t="s">
        <v>44</v>
      </c>
      <c r="D12" s="32">
        <v>1982</v>
      </c>
      <c r="E12" s="22" t="s">
        <v>34</v>
      </c>
      <c r="F12" s="37"/>
    </row>
    <row r="13" spans="1:12" ht="13">
      <c r="A13" s="42" t="s">
        <v>58</v>
      </c>
      <c r="B13" s="22">
        <f t="shared" si="0"/>
        <v>12</v>
      </c>
      <c r="C13" s="31" t="s">
        <v>45</v>
      </c>
      <c r="D13" s="32">
        <v>2008</v>
      </c>
      <c r="E13" s="22" t="s">
        <v>34</v>
      </c>
      <c r="F13" s="37"/>
    </row>
    <row r="14" spans="1:12" ht="13">
      <c r="A14" s="42" t="s">
        <v>58</v>
      </c>
      <c r="B14" s="22">
        <f t="shared" si="0"/>
        <v>13</v>
      </c>
      <c r="C14" s="31" t="s">
        <v>46</v>
      </c>
      <c r="D14" s="32">
        <v>1985</v>
      </c>
      <c r="E14" s="22" t="s">
        <v>34</v>
      </c>
      <c r="F14" s="37"/>
    </row>
    <row r="15" spans="1:12" ht="13">
      <c r="A15" s="42" t="s">
        <v>58</v>
      </c>
      <c r="B15" s="22">
        <f t="shared" si="0"/>
        <v>14</v>
      </c>
      <c r="C15" s="31" t="s">
        <v>47</v>
      </c>
      <c r="D15" s="32">
        <v>1988</v>
      </c>
      <c r="E15" s="22" t="s">
        <v>34</v>
      </c>
      <c r="F15" s="37"/>
    </row>
    <row r="16" spans="1:12" ht="13">
      <c r="A16" s="42" t="s">
        <v>58</v>
      </c>
      <c r="B16" s="22">
        <f t="shared" si="0"/>
        <v>15</v>
      </c>
      <c r="C16" s="33" t="s">
        <v>48</v>
      </c>
      <c r="D16" s="34">
        <v>2002</v>
      </c>
      <c r="E16" s="22" t="s">
        <v>34</v>
      </c>
      <c r="F16" s="37"/>
    </row>
    <row r="17" spans="1:6" ht="13">
      <c r="A17" s="42" t="s">
        <v>58</v>
      </c>
      <c r="B17" s="22">
        <f t="shared" si="0"/>
        <v>16</v>
      </c>
      <c r="C17" s="33" t="s">
        <v>49</v>
      </c>
      <c r="D17" s="34">
        <v>2004</v>
      </c>
      <c r="E17" s="22" t="s">
        <v>34</v>
      </c>
      <c r="F17" s="37"/>
    </row>
    <row r="18" spans="1:6" ht="13">
      <c r="A18" s="42" t="s">
        <v>58</v>
      </c>
      <c r="B18" s="22">
        <f t="shared" si="0"/>
        <v>17</v>
      </c>
      <c r="C18" s="33" t="s">
        <v>50</v>
      </c>
      <c r="D18" s="34">
        <v>2007</v>
      </c>
      <c r="E18" s="22" t="s">
        <v>34</v>
      </c>
      <c r="F18" s="37"/>
    </row>
    <row r="19" spans="1:6" ht="13">
      <c r="A19" s="42" t="s">
        <v>58</v>
      </c>
      <c r="B19" s="22">
        <f t="shared" si="0"/>
        <v>18</v>
      </c>
      <c r="C19" s="35">
        <v>300</v>
      </c>
      <c r="D19" s="36">
        <v>2006</v>
      </c>
      <c r="E19" s="22" t="s">
        <v>34</v>
      </c>
      <c r="F19" s="22"/>
    </row>
    <row r="20" spans="1:6" ht="13">
      <c r="A20" s="42" t="s">
        <v>58</v>
      </c>
      <c r="B20" s="22">
        <f t="shared" si="0"/>
        <v>19</v>
      </c>
      <c r="C20" s="35" t="s">
        <v>51</v>
      </c>
      <c r="D20" s="36">
        <v>1969</v>
      </c>
      <c r="E20" s="22" t="s">
        <v>34</v>
      </c>
      <c r="F20" s="22"/>
    </row>
    <row r="21" spans="1:6" ht="13">
      <c r="A21" s="42" t="s">
        <v>58</v>
      </c>
      <c r="B21" s="22">
        <f t="shared" si="0"/>
        <v>20</v>
      </c>
      <c r="C21" s="35" t="s">
        <v>52</v>
      </c>
      <c r="D21" s="36">
        <v>2006</v>
      </c>
      <c r="E21" s="22" t="s">
        <v>34</v>
      </c>
      <c r="F21" s="22"/>
    </row>
    <row r="22" spans="1:6" ht="13">
      <c r="A22" s="42" t="s">
        <v>58</v>
      </c>
      <c r="B22" s="22">
        <f t="shared" si="0"/>
        <v>21</v>
      </c>
      <c r="C22" s="35" t="s">
        <v>53</v>
      </c>
      <c r="D22" s="36">
        <v>1998</v>
      </c>
      <c r="E22" s="22" t="s">
        <v>34</v>
      </c>
      <c r="F22" s="22"/>
    </row>
    <row r="23" spans="1:6" ht="13">
      <c r="A23" s="42" t="s">
        <v>58</v>
      </c>
      <c r="B23" s="22">
        <f t="shared" si="0"/>
        <v>22</v>
      </c>
      <c r="C23" s="35" t="s">
        <v>54</v>
      </c>
      <c r="D23" s="36">
        <v>2006</v>
      </c>
      <c r="E23" s="22" t="s">
        <v>34</v>
      </c>
      <c r="F23" s="22"/>
    </row>
    <row r="24" spans="1:6" ht="13">
      <c r="A24" s="42" t="s">
        <v>58</v>
      </c>
      <c r="B24" s="22">
        <f t="shared" si="0"/>
        <v>23</v>
      </c>
      <c r="C24" s="35" t="s">
        <v>55</v>
      </c>
      <c r="D24" s="36">
        <v>2008</v>
      </c>
      <c r="E24" s="22" t="s">
        <v>34</v>
      </c>
      <c r="F24" s="22"/>
    </row>
    <row r="26" spans="1:6" ht="13">
      <c r="A26" s="41" t="s">
        <v>65</v>
      </c>
    </row>
    <row r="28" spans="1:6">
      <c r="A28" t="s">
        <v>20</v>
      </c>
      <c r="B28">
        <v>1</v>
      </c>
      <c r="D28" t="s">
        <v>21</v>
      </c>
      <c r="E28">
        <f t="shared" ref="E28:E33" si="1">VLOOKUP(D28,$A$28:$B$33,2,FALSE)</f>
        <v>2</v>
      </c>
    </row>
    <row r="29" spans="1:6">
      <c r="A29" t="s">
        <v>21</v>
      </c>
      <c r="B29">
        <v>2</v>
      </c>
      <c r="D29" t="s">
        <v>22</v>
      </c>
      <c r="E29">
        <f t="shared" si="1"/>
        <v>3</v>
      </c>
    </row>
    <row r="30" spans="1:6">
      <c r="A30" t="s">
        <v>22</v>
      </c>
      <c r="B30">
        <v>3</v>
      </c>
      <c r="D30" t="s">
        <v>66</v>
      </c>
      <c r="E30">
        <f t="shared" si="1"/>
        <v>6</v>
      </c>
    </row>
    <row r="31" spans="1:6">
      <c r="A31" t="s">
        <v>64</v>
      </c>
      <c r="B31">
        <v>4</v>
      </c>
      <c r="D31" s="38" t="s">
        <v>68</v>
      </c>
      <c r="E31">
        <f t="shared" si="1"/>
        <v>2</v>
      </c>
    </row>
    <row r="32" spans="1:6">
      <c r="A32" t="s">
        <v>67</v>
      </c>
      <c r="B32">
        <v>5</v>
      </c>
      <c r="D32" s="38" t="s">
        <v>20</v>
      </c>
      <c r="E32">
        <f t="shared" si="1"/>
        <v>1</v>
      </c>
    </row>
    <row r="33" spans="1:5">
      <c r="A33" t="s">
        <v>66</v>
      </c>
      <c r="B33">
        <v>6</v>
      </c>
      <c r="D33" s="38" t="s">
        <v>69</v>
      </c>
      <c r="E33" t="e">
        <f t="shared" si="1"/>
        <v>#N/A</v>
      </c>
    </row>
  </sheetData>
  <conditionalFormatting sqref="A2:A24 A26">
    <cfRule type="cellIs" dxfId="3" priority="1" stopIfTrue="1" operator="equal">
      <formula>$L$5</formula>
    </cfRule>
    <cfRule type="cellIs" dxfId="2" priority="2" stopIfTrue="1" operator="equal">
      <formula>$L$5</formula>
    </cfRule>
    <cfRule type="cellIs" dxfId="1" priority="3" stopIfTrue="1" operator="equal">
      <formula>$L$5</formula>
    </cfRule>
    <cfRule type="cellIs" dxfId="0" priority="4" stopIfTrue="1" operator="equal">
      <formula>$L$5</formula>
    </cfRule>
  </conditionalFormatting>
  <dataValidations count="1">
    <dataValidation type="list" allowBlank="1" showInputMessage="1" showErrorMessage="1" sqref="L4:L5 A2:A24" xr:uid="{00000000-0002-0000-0400-000000000000}">
      <formula1>$L$4:$L$5</formula1>
    </dataValidation>
  </dataValidation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G15"/>
  <sheetViews>
    <sheetView workbookViewId="0">
      <selection activeCell="B10" sqref="B10"/>
    </sheetView>
  </sheetViews>
  <sheetFormatPr defaultRowHeight="12.5"/>
  <cols>
    <col min="1" max="2" width="19" customWidth="1"/>
    <col min="4" max="7" width="11.453125" customWidth="1"/>
  </cols>
  <sheetData>
    <row r="1" spans="1:7" ht="13">
      <c r="A1" s="45" t="s">
        <v>20</v>
      </c>
      <c r="B1" s="45" t="s">
        <v>21</v>
      </c>
      <c r="D1" s="45" t="s">
        <v>20</v>
      </c>
      <c r="E1" s="45" t="s">
        <v>21</v>
      </c>
      <c r="F1" s="45" t="s">
        <v>95</v>
      </c>
      <c r="G1" s="45" t="s">
        <v>96</v>
      </c>
    </row>
    <row r="2" spans="1:7">
      <c r="A2" s="46">
        <v>4.1399999999999997</v>
      </c>
      <c r="B2" s="46" t="s">
        <v>59</v>
      </c>
      <c r="D2" s="46" t="s">
        <v>91</v>
      </c>
      <c r="E2" s="46">
        <f>LOOKUP(99999,SEARCH(D11,$D$2:$D$5),($E$11:$E$14))</f>
        <v>1.1100000000000001</v>
      </c>
      <c r="F2" s="46" t="str">
        <f>TRIM(LEFT(D2,SEARCH(" ",D2,1)))</f>
        <v>red</v>
      </c>
      <c r="G2" s="46">
        <f>LOOKUP(99999, SEARCH(TRIM(LEFT(D2,SEARCH(" ",D2,1))),D$11:D$15),(E$11:E$15))</f>
        <v>1.1100000000000001</v>
      </c>
    </row>
    <row r="3" spans="1:7">
      <c r="A3" s="46">
        <v>4.1900000000000004</v>
      </c>
      <c r="B3" s="46" t="s">
        <v>60</v>
      </c>
      <c r="D3" s="46" t="s">
        <v>94</v>
      </c>
      <c r="E3" s="46">
        <f>LOOKUP(99999,SEARCH(D12,$D$2:$D$5),($E$11:$E$14))</f>
        <v>4.4400000000000004</v>
      </c>
      <c r="F3" s="46" t="str">
        <f t="shared" ref="F3:F5" si="0">TRIM(LEFT(D3,SEARCH(" ",D3,1)))</f>
        <v>blue</v>
      </c>
      <c r="G3" s="46">
        <f>LOOKUP(99999, SEARCH(TRIM(LEFT(D3,SEARCH(" ",D3,1))),D$11:D$15),(E$11:E$15))</f>
        <v>4.4400000000000004</v>
      </c>
    </row>
    <row r="4" spans="1:7">
      <c r="A4" s="46">
        <v>5.17</v>
      </c>
      <c r="B4" s="46" t="s">
        <v>61</v>
      </c>
      <c r="D4" s="46" t="s">
        <v>93</v>
      </c>
      <c r="E4" s="46">
        <f>LOOKUP(99999,SEARCH(D13,$D$2:$D$5),($E$11:$E$14))</f>
        <v>3.33</v>
      </c>
      <c r="F4" s="46" t="str">
        <f t="shared" si="0"/>
        <v>green</v>
      </c>
      <c r="G4" s="46">
        <f t="shared" ref="G4:G5" si="1">LOOKUP(99999, SEARCH(TRIM(LEFT(D4,SEARCH(" ",D4,1))),D$11:D$15),(E$11:E$15))</f>
        <v>3.33</v>
      </c>
    </row>
    <row r="5" spans="1:7">
      <c r="A5" s="46">
        <v>5.77</v>
      </c>
      <c r="B5" s="46" t="s">
        <v>62</v>
      </c>
      <c r="D5" s="46" t="s">
        <v>92</v>
      </c>
      <c r="E5" s="46">
        <f>LOOKUP(99999,SEARCH(D14,$D$2:$D$5),($E$11:$E$14))</f>
        <v>2.2200000000000002</v>
      </c>
      <c r="F5" s="46" t="str">
        <f t="shared" si="0"/>
        <v>orange</v>
      </c>
      <c r="G5" s="46">
        <f t="shared" si="1"/>
        <v>2.2200000000000002</v>
      </c>
    </row>
    <row r="6" spans="1:7">
      <c r="A6" s="46">
        <v>6.39</v>
      </c>
      <c r="B6" s="46" t="s">
        <v>63</v>
      </c>
    </row>
    <row r="10" spans="1:7" ht="13">
      <c r="B10" t="str">
        <f>LOOKUP(4.19,A2:A6,B2:B6)</f>
        <v>orange</v>
      </c>
      <c r="D10" s="45" t="s">
        <v>20</v>
      </c>
      <c r="E10" s="45" t="s">
        <v>21</v>
      </c>
    </row>
    <row r="11" spans="1:7">
      <c r="D11" s="46" t="s">
        <v>59</v>
      </c>
      <c r="E11" s="46">
        <v>1.1100000000000001</v>
      </c>
    </row>
    <row r="12" spans="1:7">
      <c r="D12" s="46" t="s">
        <v>60</v>
      </c>
      <c r="E12" s="46">
        <v>2.2200000000000002</v>
      </c>
    </row>
    <row r="13" spans="1:7">
      <c r="D13" s="46" t="s">
        <v>62</v>
      </c>
      <c r="E13" s="46">
        <v>3.33</v>
      </c>
    </row>
    <row r="14" spans="1:7">
      <c r="D14" s="46" t="s">
        <v>63</v>
      </c>
      <c r="E14" s="46">
        <v>4.4400000000000004</v>
      </c>
    </row>
    <row r="15" spans="1:7">
      <c r="D15" s="46" t="s">
        <v>59</v>
      </c>
      <c r="E15" s="46">
        <v>1.1100000000000001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D12"/>
  <sheetViews>
    <sheetView workbookViewId="0">
      <selection activeCell="C2" sqref="C2"/>
    </sheetView>
  </sheetViews>
  <sheetFormatPr defaultRowHeight="12.5"/>
  <sheetData>
    <row r="1" spans="1:4">
      <c r="A1" s="51" t="s">
        <v>70</v>
      </c>
      <c r="B1" s="51" t="s">
        <v>71</v>
      </c>
    </row>
    <row r="2" spans="1:4">
      <c r="A2" s="52" t="s">
        <v>20</v>
      </c>
      <c r="B2" s="52">
        <v>123</v>
      </c>
      <c r="C2" s="49">
        <f>SUMPRODUCT(--(A:A="A"),--(B:B=""))</f>
        <v>3</v>
      </c>
    </row>
    <row r="3" spans="1:4">
      <c r="A3" s="52" t="s">
        <v>72</v>
      </c>
      <c r="B3" s="52">
        <v>456</v>
      </c>
    </row>
    <row r="4" spans="1:4">
      <c r="A4" s="52" t="s">
        <v>20</v>
      </c>
      <c r="B4" s="52"/>
    </row>
    <row r="5" spans="1:4">
      <c r="A5" s="52" t="s">
        <v>20</v>
      </c>
      <c r="B5" s="52"/>
    </row>
    <row r="6" spans="1:4">
      <c r="A6" s="52" t="s">
        <v>72</v>
      </c>
      <c r="B6" s="52">
        <v>567</v>
      </c>
    </row>
    <row r="7" spans="1:4">
      <c r="A7" s="52" t="s">
        <v>72</v>
      </c>
      <c r="B7" s="52"/>
    </row>
    <row r="8" spans="1:4">
      <c r="A8" s="52" t="s">
        <v>20</v>
      </c>
      <c r="B8" s="52"/>
    </row>
    <row r="9" spans="1:4">
      <c r="A9" s="52" t="s">
        <v>72</v>
      </c>
      <c r="B9" s="52">
        <v>570</v>
      </c>
    </row>
    <row r="10" spans="1:4">
      <c r="A10" s="52" t="s">
        <v>72</v>
      </c>
      <c r="B10" s="52">
        <v>571</v>
      </c>
    </row>
    <row r="12" spans="1:4">
      <c r="A12" s="112" t="s">
        <v>73</v>
      </c>
      <c r="B12" s="112"/>
      <c r="C12" s="112"/>
      <c r="D12" s="112"/>
    </row>
  </sheetData>
  <mergeCells count="1">
    <mergeCell ref="A12:D1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C14"/>
  <sheetViews>
    <sheetView workbookViewId="0">
      <selection activeCell="C2" sqref="C2"/>
    </sheetView>
  </sheetViews>
  <sheetFormatPr defaultRowHeight="12.5"/>
  <cols>
    <col min="1" max="2" width="15.26953125" bestFit="1" customWidth="1"/>
    <col min="3" max="3" width="15.7265625" bestFit="1" customWidth="1"/>
  </cols>
  <sheetData>
    <row r="1" spans="1:3" ht="23.25" customHeight="1">
      <c r="A1" s="53" t="s">
        <v>74</v>
      </c>
      <c r="B1" s="54" t="s">
        <v>75</v>
      </c>
      <c r="C1" s="54" t="s">
        <v>76</v>
      </c>
    </row>
    <row r="2" spans="1:3">
      <c r="A2" s="55" t="s">
        <v>77</v>
      </c>
      <c r="B2" s="55" t="s">
        <v>82</v>
      </c>
      <c r="C2" s="55" t="str">
        <f>IF(ISERROR(MATCH(A2,$B$2:$B$2245,0)),"Not Found","Found")</f>
        <v>Found</v>
      </c>
    </row>
    <row r="3" spans="1:3">
      <c r="A3" s="55" t="s">
        <v>78</v>
      </c>
      <c r="B3" s="55" t="s">
        <v>78</v>
      </c>
      <c r="C3" s="55" t="str">
        <f t="shared" ref="C3:C10" si="0">IF(ISERROR(MATCH(A3,$B$2:$B$2245,0)),"Not Found","Found")</f>
        <v>Found</v>
      </c>
    </row>
    <row r="4" spans="1:3">
      <c r="A4" s="55" t="s">
        <v>79</v>
      </c>
      <c r="B4" s="55" t="s">
        <v>77</v>
      </c>
      <c r="C4" s="55" t="str">
        <f t="shared" si="0"/>
        <v>Found</v>
      </c>
    </row>
    <row r="5" spans="1:3">
      <c r="A5" s="55" t="s">
        <v>80</v>
      </c>
      <c r="B5" s="55" t="s">
        <v>83</v>
      </c>
      <c r="C5" s="55" t="str">
        <f t="shared" si="0"/>
        <v>Not Found</v>
      </c>
    </row>
    <row r="6" spans="1:3">
      <c r="A6" s="55" t="s">
        <v>81</v>
      </c>
      <c r="B6" s="55" t="s">
        <v>84</v>
      </c>
      <c r="C6" s="55" t="str">
        <f t="shared" si="0"/>
        <v>Found</v>
      </c>
    </row>
    <row r="7" spans="1:3">
      <c r="A7" s="55">
        <v>123</v>
      </c>
      <c r="B7" s="55">
        <v>123</v>
      </c>
      <c r="C7" s="55" t="str">
        <f t="shared" si="0"/>
        <v>Found</v>
      </c>
    </row>
    <row r="8" spans="1:3">
      <c r="A8" s="55">
        <v>456</v>
      </c>
      <c r="B8" s="55" t="s">
        <v>79</v>
      </c>
      <c r="C8" s="55" t="str">
        <f t="shared" si="0"/>
        <v>Found</v>
      </c>
    </row>
    <row r="9" spans="1:3">
      <c r="A9" s="55">
        <v>789</v>
      </c>
      <c r="B9" s="55">
        <v>100</v>
      </c>
      <c r="C9" s="55" t="str">
        <f t="shared" si="0"/>
        <v>Not Found</v>
      </c>
    </row>
    <row r="10" spans="1:3">
      <c r="A10" s="55" t="s">
        <v>82</v>
      </c>
      <c r="B10" s="55">
        <v>101</v>
      </c>
      <c r="C10" s="55" t="str">
        <f t="shared" si="0"/>
        <v>Found</v>
      </c>
    </row>
    <row r="11" spans="1:3">
      <c r="B11" s="55" t="s">
        <v>85</v>
      </c>
    </row>
    <row r="12" spans="1:3">
      <c r="B12" s="55">
        <v>456</v>
      </c>
    </row>
    <row r="13" spans="1:3">
      <c r="B13" s="55" t="s">
        <v>81</v>
      </c>
    </row>
    <row r="14" spans="1:3">
      <c r="B14" s="55">
        <v>200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E5"/>
  <sheetViews>
    <sheetView workbookViewId="0">
      <selection activeCell="E2" sqref="E2"/>
    </sheetView>
  </sheetViews>
  <sheetFormatPr defaultRowHeight="12.5"/>
  <cols>
    <col min="1" max="1" width="9.1796875" customWidth="1"/>
    <col min="2" max="2" width="11.81640625" customWidth="1"/>
    <col min="3" max="3" width="17.453125" customWidth="1"/>
    <col min="4" max="4" width="15.26953125" customWidth="1"/>
    <col min="5" max="5" width="17.26953125" customWidth="1"/>
  </cols>
  <sheetData>
    <row r="1" spans="1:5" ht="34.5">
      <c r="A1" s="86" t="s">
        <v>137</v>
      </c>
      <c r="B1" s="86" t="s">
        <v>138</v>
      </c>
      <c r="C1" s="86" t="s">
        <v>139</v>
      </c>
      <c r="D1" s="86" t="s">
        <v>140</v>
      </c>
      <c r="E1" s="86" t="s">
        <v>141</v>
      </c>
    </row>
    <row r="2" spans="1:5">
      <c r="A2" s="87">
        <v>111</v>
      </c>
      <c r="B2" s="87">
        <v>112</v>
      </c>
      <c r="C2" s="87" t="s">
        <v>83</v>
      </c>
      <c r="D2" s="87" t="str">
        <f>IFERROR(INDEX(C:C, MATCH(B2, A:A, 0)), "")</f>
        <v/>
      </c>
      <c r="E2" s="87" t="str">
        <f>IF(IFERROR(INDEX(C:C, MATCH(B2, A:A, 0)), "Not Found")="Not Found","N","Y")</f>
        <v>N</v>
      </c>
    </row>
    <row r="3" spans="1:5">
      <c r="A3" s="87">
        <v>222</v>
      </c>
      <c r="B3" s="87">
        <v>111</v>
      </c>
      <c r="C3" s="87" t="s">
        <v>84</v>
      </c>
      <c r="D3" s="87" t="str">
        <f t="shared" ref="D3:D5" si="0">IFERROR(INDEX(C:C, MATCH(B3, A:A, 0)), "")</f>
        <v>AAA</v>
      </c>
      <c r="E3" s="87" t="str">
        <f t="shared" ref="E3:E5" si="1">IF(IFERROR(INDEX(C:C, MATCH(B3, A:A, 0)), "Not Found")="Not Found","N","Y")</f>
        <v>Y</v>
      </c>
    </row>
    <row r="4" spans="1:5">
      <c r="A4" s="87">
        <v>333</v>
      </c>
      <c r="B4" s="87">
        <v>221</v>
      </c>
      <c r="C4" s="87" t="s">
        <v>135</v>
      </c>
      <c r="D4" s="87" t="str">
        <f t="shared" si="0"/>
        <v/>
      </c>
      <c r="E4" s="87" t="str">
        <f t="shared" si="1"/>
        <v>N</v>
      </c>
    </row>
    <row r="5" spans="1:5">
      <c r="A5" s="87">
        <v>444</v>
      </c>
      <c r="B5" s="87">
        <v>333</v>
      </c>
      <c r="C5" s="87" t="s">
        <v>136</v>
      </c>
      <c r="D5" s="87" t="str">
        <f t="shared" si="0"/>
        <v>CCC</v>
      </c>
      <c r="E5" s="87" t="str">
        <f t="shared" si="1"/>
        <v>Y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B1:E1"/>
  <sheetViews>
    <sheetView workbookViewId="0">
      <selection activeCell="E1" sqref="E1"/>
    </sheetView>
  </sheetViews>
  <sheetFormatPr defaultRowHeight="12.5"/>
  <sheetData>
    <row r="1" spans="2:5" ht="37.5">
      <c r="B1" s="56" t="s">
        <v>77</v>
      </c>
      <c r="C1" s="56" t="s">
        <v>78</v>
      </c>
      <c r="D1" s="56">
        <v>123</v>
      </c>
      <c r="E1" s="57" t="str">
        <f>CONCATENATE(B1, CHAR(10), C1, CHAR(10), D1)</f>
        <v>ABC
DEF
123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B1"/>
  <sheetViews>
    <sheetView workbookViewId="0">
      <selection activeCell="B1" sqref="B1"/>
    </sheetView>
  </sheetViews>
  <sheetFormatPr defaultRowHeight="12.5"/>
  <cols>
    <col min="1" max="1" width="12.26953125" customWidth="1"/>
  </cols>
  <sheetData>
    <row r="1" spans="1:2">
      <c r="A1" t="s">
        <v>113</v>
      </c>
      <c r="B1">
        <f>LEN(TRIM(A1))-LEN(SUBSTITUTE(TRIM(A1),",",""))+1</f>
        <v>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2:B8"/>
  <sheetViews>
    <sheetView workbookViewId="0">
      <selection activeCell="B8" sqref="B8"/>
    </sheetView>
  </sheetViews>
  <sheetFormatPr defaultRowHeight="12.5"/>
  <cols>
    <col min="1" max="1" width="35" bestFit="1" customWidth="1"/>
    <col min="2" max="2" width="9.7265625" bestFit="1" customWidth="1"/>
  </cols>
  <sheetData>
    <row r="2" spans="1:2" ht="21" customHeight="1">
      <c r="A2" s="59" t="s">
        <v>86</v>
      </c>
    </row>
    <row r="5" spans="1:2">
      <c r="A5" t="s">
        <v>87</v>
      </c>
      <c r="B5">
        <v>50</v>
      </c>
    </row>
    <row r="6" spans="1:2">
      <c r="A6" t="s">
        <v>88</v>
      </c>
      <c r="B6">
        <v>10</v>
      </c>
    </row>
    <row r="7" spans="1:2">
      <c r="A7" t="s">
        <v>89</v>
      </c>
      <c r="B7" s="58">
        <v>41425</v>
      </c>
    </row>
    <row r="8" spans="1:2">
      <c r="A8" t="s">
        <v>90</v>
      </c>
      <c r="B8" s="58">
        <f>WORKDAY(B7-1,ROUND((B5/B6),0))</f>
        <v>41431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B1:D17"/>
  <sheetViews>
    <sheetView workbookViewId="0">
      <selection activeCell="C17" sqref="C17"/>
    </sheetView>
  </sheetViews>
  <sheetFormatPr defaultRowHeight="12.5"/>
  <cols>
    <col min="2" max="2" width="23.453125" customWidth="1"/>
    <col min="3" max="3" width="7.453125" customWidth="1"/>
    <col min="4" max="4" width="89.1796875" bestFit="1" customWidth="1"/>
    <col min="6" max="6" width="6.54296875" customWidth="1"/>
    <col min="7" max="7" width="88.1796875" bestFit="1" customWidth="1"/>
  </cols>
  <sheetData>
    <row r="1" spans="2:4" ht="27">
      <c r="B1" s="78" t="s">
        <v>111</v>
      </c>
      <c r="C1" s="113" t="s">
        <v>110</v>
      </c>
      <c r="D1" s="113"/>
    </row>
    <row r="2" spans="2:4" ht="13.5">
      <c r="B2" s="60" t="str">
        <f>IFERROR(INDEX(MID(CountSheets,FIND("]",CountSheets)+1,255),ROWS(A$2:A2)),"")</f>
        <v/>
      </c>
      <c r="C2" s="114" t="s">
        <v>98</v>
      </c>
      <c r="D2" s="114"/>
    </row>
    <row r="3" spans="2:4" ht="13.5">
      <c r="B3" s="60" t="str">
        <f>IFERROR(INDEX(MID(CountSheets,FIND("]",CountSheets)+1,255),ROWS(A$2:A3)),"")</f>
        <v/>
      </c>
      <c r="C3" s="61">
        <v>1</v>
      </c>
      <c r="D3" s="62" t="s">
        <v>99</v>
      </c>
    </row>
    <row r="4" spans="2:4" ht="13.5">
      <c r="B4" s="60" t="str">
        <f>IFERROR(INDEX(MID(CountSheets,FIND("]",CountSheets)+1,255),ROWS(A$2:A4)),"")</f>
        <v/>
      </c>
      <c r="C4" s="61">
        <f>C3+1</f>
        <v>2</v>
      </c>
      <c r="D4" s="62" t="s">
        <v>100</v>
      </c>
    </row>
    <row r="5" spans="2:4" ht="13.5">
      <c r="B5" s="60" t="str">
        <f>IFERROR(INDEX(MID(CountSheets,FIND("]",CountSheets)+1,255),ROWS(A$2:A5)),"")</f>
        <v/>
      </c>
      <c r="C5" s="61">
        <f t="shared" ref="C5:C13" si="0">C4+1</f>
        <v>3</v>
      </c>
      <c r="D5" s="62" t="s">
        <v>101</v>
      </c>
    </row>
    <row r="6" spans="2:4" ht="13.5">
      <c r="B6" s="60" t="str">
        <f>IFERROR(INDEX(MID(CountSheets,FIND("]",CountSheets)+1,255),ROWS(A$2:A6)),"")</f>
        <v/>
      </c>
      <c r="C6" s="61">
        <f t="shared" si="0"/>
        <v>4</v>
      </c>
      <c r="D6" s="62" t="s">
        <v>102</v>
      </c>
    </row>
    <row r="7" spans="2:4" ht="13.5">
      <c r="B7" s="60" t="str">
        <f>IFERROR(INDEX(MID(CountSheets,FIND("]",CountSheets)+1,255),ROWS(A$2:A7)),"")</f>
        <v/>
      </c>
      <c r="C7" s="61">
        <f t="shared" si="0"/>
        <v>5</v>
      </c>
      <c r="D7" s="62" t="s">
        <v>103</v>
      </c>
    </row>
    <row r="8" spans="2:4" ht="13.5">
      <c r="B8" s="60" t="str">
        <f>IFERROR(INDEX(MID(CountSheets,FIND("]",CountSheets)+1,255),ROWS(A$2:A8)),"")</f>
        <v/>
      </c>
      <c r="C8" s="61">
        <f t="shared" si="0"/>
        <v>6</v>
      </c>
      <c r="D8" s="62" t="s">
        <v>104</v>
      </c>
    </row>
    <row r="9" spans="2:4" ht="13.5">
      <c r="B9" s="60" t="str">
        <f>IFERROR(INDEX(MID(CountSheets,FIND("]",CountSheets)+1,255),ROWS(A$2:A9)),"")</f>
        <v/>
      </c>
      <c r="C9" s="61">
        <f t="shared" si="0"/>
        <v>7</v>
      </c>
      <c r="D9" s="62" t="s">
        <v>105</v>
      </c>
    </row>
    <row r="10" spans="2:4" ht="13.5">
      <c r="B10" s="60" t="str">
        <f>IFERROR(INDEX(MID(CountSheets,FIND("]",CountSheets)+1,255),ROWS(A$2:A10)),"")</f>
        <v/>
      </c>
      <c r="C10" s="61">
        <f t="shared" si="0"/>
        <v>8</v>
      </c>
      <c r="D10" s="62" t="s">
        <v>106</v>
      </c>
    </row>
    <row r="11" spans="2:4" ht="13.5">
      <c r="B11" s="60" t="str">
        <f>IFERROR(INDEX(MID(CountSheets,FIND("]",CountSheets)+1,255),ROWS(A$2:A11)),"")</f>
        <v/>
      </c>
      <c r="C11" s="61">
        <f t="shared" si="0"/>
        <v>9</v>
      </c>
      <c r="D11" s="62" t="s">
        <v>107</v>
      </c>
    </row>
    <row r="12" spans="2:4" ht="13.5">
      <c r="B12" s="60" t="str">
        <f>IFERROR(INDEX(MID(CountSheets,FIND("]",CountSheets)+1,255),ROWS(A$2:A12)),"")</f>
        <v/>
      </c>
      <c r="C12" s="61">
        <f t="shared" si="0"/>
        <v>10</v>
      </c>
      <c r="D12" s="62" t="s">
        <v>108</v>
      </c>
    </row>
    <row r="13" spans="2:4" ht="13.5">
      <c r="B13" s="60" t="str">
        <f>IFERROR(INDEX(MID(CountSheets,FIND("]",CountSheets)+1,255),ROWS(A$2:A13)),"")</f>
        <v/>
      </c>
      <c r="C13" s="61">
        <f t="shared" si="0"/>
        <v>11</v>
      </c>
      <c r="D13" s="62" t="s">
        <v>109</v>
      </c>
    </row>
    <row r="14" spans="2:4" ht="13.5">
      <c r="B14" s="60" t="str">
        <f>IFERROR(INDEX(MID(CountSheets,FIND("]",CountSheets)+1,255),ROWS(A$2:A14)),"")</f>
        <v/>
      </c>
      <c r="C14" s="60"/>
      <c r="D14" s="60"/>
    </row>
    <row r="15" spans="2:4" ht="13.5">
      <c r="B15" s="60" t="str">
        <f>IFERROR(INDEX(MID(CountSheets,FIND("]",CountSheets)+1,255),ROWS(A$2:A15)),"")</f>
        <v/>
      </c>
      <c r="C15" s="60"/>
      <c r="D15" s="60"/>
    </row>
    <row r="16" spans="2:4" ht="13.5">
      <c r="B16" s="60"/>
      <c r="C16" s="60"/>
      <c r="D16" s="60"/>
    </row>
    <row r="17" spans="2:4" ht="13.5">
      <c r="B17" s="64" t="s">
        <v>97</v>
      </c>
      <c r="C17" s="63">
        <f>COUNTA(INDEX(CountSheets,0))</f>
        <v>1</v>
      </c>
      <c r="D17" s="60"/>
    </row>
  </sheetData>
  <mergeCells count="2">
    <mergeCell ref="C1:D1"/>
    <mergeCell ref="C2:D2"/>
  </mergeCells>
  <hyperlinks>
    <hyperlink ref="C2:D2" r:id="rId1" location=".Uh7TT38gj5M" display="2007 and above Excel Versions" xr:uid="{00000000-0004-0000-0C00-000000000000}"/>
    <hyperlink ref="B1" r:id="rId2" xr:uid="{00000000-0004-0000-0C00-000001000000}"/>
  </hyperlinks>
  <pageMargins left="0.7" right="0.7" top="0.75" bottom="0.75" header="0.3" footer="0.3"/>
  <pageSetup paperSize="9" orientation="portrait" verticalDpi="0"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O30"/>
  <sheetViews>
    <sheetView tabSelected="1" workbookViewId="0">
      <selection activeCell="B8" sqref="B8"/>
    </sheetView>
  </sheetViews>
  <sheetFormatPr defaultRowHeight="12.5"/>
  <sheetData>
    <row r="1" spans="1:15">
      <c r="A1" s="65" t="s">
        <v>112</v>
      </c>
    </row>
    <row r="3" spans="1:15" ht="13">
      <c r="A3" s="38" t="s">
        <v>116</v>
      </c>
    </row>
    <row r="4" spans="1:15" ht="13" thickBot="1"/>
    <row r="5" spans="1:15" ht="13.5" thickTop="1">
      <c r="A5" s="115" t="s">
        <v>114</v>
      </c>
      <c r="B5" s="116"/>
      <c r="D5" s="117" t="s">
        <v>115</v>
      </c>
      <c r="E5" s="118"/>
    </row>
    <row r="6" spans="1:15" ht="13">
      <c r="A6" s="66" t="s">
        <v>117</v>
      </c>
      <c r="B6" s="67" t="s">
        <v>118</v>
      </c>
      <c r="D6" s="68" t="s">
        <v>117</v>
      </c>
      <c r="E6" s="69" t="s">
        <v>118</v>
      </c>
    </row>
    <row r="7" spans="1:15">
      <c r="A7" s="70" t="s">
        <v>77</v>
      </c>
      <c r="B7" s="71">
        <f>IFERROR(INDEX($E$7:$E$9,MATCH($A7,$D$7:$D$9,0)),"No")</f>
        <v>1</v>
      </c>
      <c r="D7" s="74" t="s">
        <v>79</v>
      </c>
      <c r="E7" s="75">
        <v>3</v>
      </c>
    </row>
    <row r="8" spans="1:15">
      <c r="A8" s="70" t="s">
        <v>78</v>
      </c>
      <c r="B8" s="71">
        <f>INDEX($E$7:$E$9,MATCH($A8,$D$7:$D$9,0))</f>
        <v>2</v>
      </c>
      <c r="D8" s="74" t="s">
        <v>77</v>
      </c>
      <c r="E8" s="75">
        <v>1</v>
      </c>
    </row>
    <row r="9" spans="1:15" ht="13" thickBot="1">
      <c r="A9" s="72" t="s">
        <v>79</v>
      </c>
      <c r="B9" s="73">
        <f t="shared" ref="B8:B9" si="0">INDEX($E$7:$E$9,MATCH($A9,$D$7:$D$9,0))</f>
        <v>3</v>
      </c>
      <c r="D9" s="76" t="s">
        <v>78</v>
      </c>
      <c r="E9" s="77">
        <v>2</v>
      </c>
    </row>
    <row r="10" spans="1:15" ht="13" thickTop="1"/>
    <row r="14" spans="1:15" ht="14">
      <c r="O14" s="99"/>
    </row>
    <row r="15" spans="1:15" ht="14">
      <c r="O15" s="99"/>
    </row>
    <row r="16" spans="1:15" ht="14">
      <c r="O16" s="99"/>
    </row>
    <row r="17" spans="15:15" ht="14">
      <c r="O17" s="99"/>
    </row>
    <row r="18" spans="15:15" ht="14">
      <c r="O18" s="99"/>
    </row>
    <row r="19" spans="15:15" ht="14">
      <c r="O19" s="99"/>
    </row>
    <row r="20" spans="15:15" ht="14">
      <c r="O20" s="99"/>
    </row>
    <row r="21" spans="15:15" ht="14">
      <c r="O21" s="99"/>
    </row>
    <row r="22" spans="15:15" ht="14">
      <c r="O22" s="99"/>
    </row>
    <row r="23" spans="15:15" ht="14">
      <c r="O23" s="99"/>
    </row>
    <row r="24" spans="15:15" ht="14">
      <c r="O24" s="99"/>
    </row>
    <row r="25" spans="15:15" ht="14">
      <c r="O25" s="99"/>
    </row>
    <row r="26" spans="15:15" ht="14">
      <c r="O26" s="99"/>
    </row>
    <row r="27" spans="15:15" ht="14">
      <c r="O27" s="99"/>
    </row>
    <row r="28" spans="15:15" ht="14">
      <c r="O28" s="99"/>
    </row>
    <row r="29" spans="15:15" ht="14">
      <c r="O29" s="99"/>
    </row>
    <row r="30" spans="15:15" ht="14">
      <c r="O30" s="99"/>
    </row>
  </sheetData>
  <mergeCells count="2">
    <mergeCell ref="A5:B5"/>
    <mergeCell ref="D5:E5"/>
  </mergeCells>
  <hyperlinks>
    <hyperlink ref="A1" r:id="rId1" xr:uid="{00000000-0004-0000-0D00-000000000000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A8977-DD32-448E-8D58-CC9F10DED36B}">
  <sheetPr codeName="Sheet15"/>
  <dimension ref="A1:L10"/>
  <sheetViews>
    <sheetView workbookViewId="0">
      <selection activeCell="L2" sqref="L2"/>
    </sheetView>
  </sheetViews>
  <sheetFormatPr defaultRowHeight="12.5"/>
  <cols>
    <col min="1" max="1" width="19.7265625" bestFit="1" customWidth="1"/>
    <col min="2" max="2" width="16.7265625" bestFit="1" customWidth="1"/>
    <col min="3" max="3" width="9.7265625" customWidth="1"/>
    <col min="4" max="4" width="10.26953125" bestFit="1" customWidth="1"/>
    <col min="5" max="5" width="9.453125" bestFit="1" customWidth="1"/>
    <col min="8" max="8" width="10.7265625" bestFit="1" customWidth="1"/>
    <col min="12" max="12" width="17.26953125" customWidth="1"/>
  </cols>
  <sheetData>
    <row r="1" spans="1:12" ht="26.25" customHeight="1">
      <c r="A1" s="88" t="s">
        <v>154</v>
      </c>
      <c r="B1" s="88" t="s">
        <v>142</v>
      </c>
      <c r="C1" s="89"/>
      <c r="D1" s="90" t="s">
        <v>154</v>
      </c>
      <c r="E1" s="90" t="s">
        <v>142</v>
      </c>
      <c r="F1" s="89"/>
      <c r="H1" s="93" t="s">
        <v>164</v>
      </c>
      <c r="I1" s="93" t="s">
        <v>160</v>
      </c>
      <c r="J1" s="93" t="s">
        <v>161</v>
      </c>
      <c r="K1" s="93" t="s">
        <v>162</v>
      </c>
      <c r="L1" s="93" t="s">
        <v>163</v>
      </c>
    </row>
    <row r="2" spans="1:12" ht="14">
      <c r="A2" s="91" t="s">
        <v>143</v>
      </c>
      <c r="B2" s="91" t="str">
        <f t="shared" ref="B2:B6" si="0">IF(LEN(A2)-LEN(SUBSTITUTE(A2,",",""))=0,VLOOKUP(A2,$D$2:$E$8,2,FALSE),_xlfn.TEXTJOIN(", ",TRUE,(VLOOKUP(LEFT(A2,SEARCH(",",A2)-1),$D$2:$E$8,2,FALSE)),(VLOOKUP(RIGHT(A2,LEN(A2)-SEARCH(",",A2)),$D$2:$E$8,2,FALSE))))</f>
        <v>Assigned</v>
      </c>
      <c r="C2" s="89"/>
      <c r="D2" s="91" t="s">
        <v>143</v>
      </c>
      <c r="E2" s="91" t="s">
        <v>144</v>
      </c>
      <c r="F2" s="89"/>
      <c r="H2" s="91" t="s">
        <v>155</v>
      </c>
      <c r="I2" s="92" t="str">
        <f>LEFT(H2, SEARCH(":",H2)-2)</f>
        <v>1</v>
      </c>
      <c r="J2" s="92" t="str">
        <f>MID(H2, SEARCH(":",H2) + 1, SEARCH(":",H2,SEARCH(":",H2)+1) - SEARCH(":",H2) - 2)</f>
        <v>30</v>
      </c>
      <c r="K2" s="92" t="str">
        <f>SUBSTITUTE(TRIM(RIGHT(SUBSTITUTE(H2,":",REPT(" ",LEN(H2))),LEN(H2))),"s","")</f>
        <v>40</v>
      </c>
      <c r="L2" s="92">
        <f>ROUND((LEFT(H2, SEARCH(":",H2)-2))+((MID(H2, SEARCH(":",H2) + 1, SEARCH(":",H2,SEARCH(":",H2)+1) - SEARCH(":",H2) - 2))/60)+((SUBSTITUTE(TRIM(RIGHT(SUBSTITUTE(H2,":",REPT(" ",LEN(H2))),LEN(H2))),"s",""))/3600),2)</f>
        <v>1.51</v>
      </c>
    </row>
    <row r="3" spans="1:12" ht="14">
      <c r="A3" s="91" t="s">
        <v>145</v>
      </c>
      <c r="B3" s="91" t="str">
        <f t="shared" si="0"/>
        <v>Closed</v>
      </c>
      <c r="C3" s="89"/>
      <c r="D3" s="91" t="s">
        <v>145</v>
      </c>
      <c r="E3" s="91" t="s">
        <v>146</v>
      </c>
      <c r="F3" s="89"/>
      <c r="H3" s="91" t="s">
        <v>156</v>
      </c>
      <c r="I3" s="92" t="str">
        <f t="shared" ref="I3:I6" si="1">LEFT(H3, SEARCH(":",H3)-2)</f>
        <v>2</v>
      </c>
      <c r="J3" s="92" t="str">
        <f t="shared" ref="J3:J6" si="2">MID(H3, SEARCH(":",H3) + 1, SEARCH(":",H3,SEARCH(":",H3)+1) - SEARCH(":",H3) - 2)</f>
        <v>45</v>
      </c>
      <c r="K3" s="92" t="str">
        <f t="shared" ref="K3:K6" si="3">SUBSTITUTE(TRIM(RIGHT(SUBSTITUTE(H3,":",REPT(" ",LEN(H3))),LEN(H3))),"s","")</f>
        <v>30</v>
      </c>
      <c r="L3" s="92">
        <f t="shared" ref="L3:L6" si="4">ROUND((LEFT(H3, SEARCH(":",H3)-2))+((MID(H3, SEARCH(":",H3) + 1, SEARCH(":",H3,SEARCH(":",H3)+1) - SEARCH(":",H3) - 2))/60)+((SUBSTITUTE(TRIM(RIGHT(SUBSTITUTE(H3,":",REPT(" ",LEN(H3))),LEN(H3))),"s",""))/3600),2)</f>
        <v>2.76</v>
      </c>
    </row>
    <row r="4" spans="1:12" ht="14">
      <c r="A4" s="91" t="s">
        <v>147</v>
      </c>
      <c r="B4" s="91" t="str">
        <f t="shared" si="0"/>
        <v>Open</v>
      </c>
      <c r="C4" s="89"/>
      <c r="D4" s="91" t="s">
        <v>147</v>
      </c>
      <c r="E4" s="91" t="s">
        <v>148</v>
      </c>
      <c r="F4" s="89"/>
      <c r="H4" s="91" t="s">
        <v>157</v>
      </c>
      <c r="I4" s="92" t="str">
        <f t="shared" si="1"/>
        <v>2</v>
      </c>
      <c r="J4" s="92" t="str">
        <f t="shared" si="2"/>
        <v>50</v>
      </c>
      <c r="K4" s="92" t="str">
        <f t="shared" si="3"/>
        <v>30</v>
      </c>
      <c r="L4" s="92">
        <f t="shared" si="4"/>
        <v>2.84</v>
      </c>
    </row>
    <row r="5" spans="1:12" ht="14">
      <c r="A5" s="91" t="s">
        <v>149</v>
      </c>
      <c r="B5" s="91" t="str">
        <f t="shared" si="0"/>
        <v>Assigned</v>
      </c>
      <c r="C5" s="89"/>
      <c r="D5" s="91" t="s">
        <v>149</v>
      </c>
      <c r="E5" s="91" t="s">
        <v>144</v>
      </c>
      <c r="F5" s="89"/>
      <c r="H5" s="91" t="s">
        <v>158</v>
      </c>
      <c r="I5" s="92" t="str">
        <f t="shared" si="1"/>
        <v>3</v>
      </c>
      <c r="J5" s="92" t="str">
        <f t="shared" si="2"/>
        <v>15</v>
      </c>
      <c r="K5" s="92" t="str">
        <f t="shared" si="3"/>
        <v>30</v>
      </c>
      <c r="L5" s="92">
        <f t="shared" si="4"/>
        <v>3.26</v>
      </c>
    </row>
    <row r="6" spans="1:12" ht="14">
      <c r="A6" s="91" t="s">
        <v>150</v>
      </c>
      <c r="B6" s="91" t="str">
        <f t="shared" si="0"/>
        <v>Assigned, Closed</v>
      </c>
      <c r="C6" s="89"/>
      <c r="D6" s="91" t="s">
        <v>143</v>
      </c>
      <c r="E6" s="91" t="s">
        <v>144</v>
      </c>
      <c r="F6" s="89"/>
      <c r="H6" s="91" t="s">
        <v>159</v>
      </c>
      <c r="I6" s="92" t="str">
        <f t="shared" si="1"/>
        <v>4</v>
      </c>
      <c r="J6" s="92" t="str">
        <f t="shared" si="2"/>
        <v>30</v>
      </c>
      <c r="K6" s="92" t="str">
        <f t="shared" si="3"/>
        <v>30</v>
      </c>
      <c r="L6" s="92">
        <f t="shared" si="4"/>
        <v>4.51</v>
      </c>
    </row>
    <row r="7" spans="1:12" ht="14">
      <c r="A7" s="91" t="s">
        <v>151</v>
      </c>
      <c r="B7" s="91" t="str">
        <f>IF(LEN(A7)-LEN(SUBSTITUTE(A7,",",""))=0,VLOOKUP(A7,$D$2:$E$8,2,FALSE),_xlfn.TEXTJOIN(", ",TRUE,(VLOOKUP(LEFT(A7,SEARCH(",",A7)-1),$D$2:$E$8,2,FALSE)),(VLOOKUP(RIGHT(A7,LEN(A7)-SEARCH(",",A7)),$D$2:$E$8,2,FALSE))))</f>
        <v>Closed, Closed</v>
      </c>
      <c r="C7" s="89"/>
      <c r="D7" s="91" t="s">
        <v>152</v>
      </c>
      <c r="E7" s="91" t="s">
        <v>146</v>
      </c>
      <c r="F7" s="89"/>
    </row>
    <row r="8" spans="1:12" ht="14">
      <c r="A8" s="89"/>
      <c r="B8" s="89"/>
      <c r="C8" s="89"/>
      <c r="D8" s="91" t="s">
        <v>152</v>
      </c>
      <c r="E8" s="91" t="s">
        <v>153</v>
      </c>
      <c r="F8" s="89"/>
    </row>
    <row r="9" spans="1:12" ht="14">
      <c r="A9" s="89"/>
      <c r="B9" s="89"/>
      <c r="C9" s="89"/>
      <c r="D9" s="89"/>
      <c r="E9" s="89"/>
      <c r="F9" s="89"/>
    </row>
    <row r="10" spans="1:12" ht="14">
      <c r="A10" s="89"/>
      <c r="B10" s="89"/>
      <c r="C10" s="89"/>
      <c r="D10" s="89"/>
      <c r="E10" s="89"/>
      <c r="F10" s="89"/>
    </row>
  </sheetData>
  <pageMargins left="0.7" right="0.7" top="0.75" bottom="0.75" header="0.3" footer="0.3"/>
  <pageSetup paperSize="9" orientation="portrait" verticalDpi="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B12"/>
  <sheetViews>
    <sheetView workbookViewId="0">
      <selection activeCell="B10" sqref="B10"/>
    </sheetView>
  </sheetViews>
  <sheetFormatPr defaultRowHeight="12.5"/>
  <cols>
    <col min="1" max="1" width="28.7265625" bestFit="1" customWidth="1"/>
    <col min="2" max="2" width="14.26953125" customWidth="1"/>
  </cols>
  <sheetData>
    <row r="1" spans="1:2">
      <c r="A1" s="81" t="s">
        <v>121</v>
      </c>
      <c r="B1" s="79" t="s">
        <v>119</v>
      </c>
    </row>
    <row r="2" spans="1:2">
      <c r="A2" s="81" t="s">
        <v>122</v>
      </c>
      <c r="B2" s="79"/>
    </row>
    <row r="3" spans="1:2">
      <c r="A3" s="81" t="s">
        <v>123</v>
      </c>
      <c r="B3" s="79" t="s">
        <v>119</v>
      </c>
    </row>
    <row r="4" spans="1:2">
      <c r="A4" s="81" t="s">
        <v>124</v>
      </c>
      <c r="B4" s="79"/>
    </row>
    <row r="5" spans="1:2">
      <c r="A5" s="81" t="s">
        <v>125</v>
      </c>
      <c r="B5" s="79" t="s">
        <v>119</v>
      </c>
    </row>
    <row r="6" spans="1:2" ht="14.5">
      <c r="A6" s="81" t="s">
        <v>126</v>
      </c>
      <c r="B6" s="79"/>
    </row>
    <row r="7" spans="1:2" ht="14.5">
      <c r="A7" s="81" t="s">
        <v>127</v>
      </c>
      <c r="B7" s="79" t="s">
        <v>119</v>
      </c>
    </row>
    <row r="8" spans="1:2" ht="14.5">
      <c r="A8" s="81" t="s">
        <v>128</v>
      </c>
      <c r="B8" s="79"/>
    </row>
    <row r="10" spans="1:2" ht="13">
      <c r="A10" s="80" t="s">
        <v>120</v>
      </c>
      <c r="B10" s="82">
        <f>COUNTIF(A1:A8,"*SBX*")</f>
        <v>8</v>
      </c>
    </row>
    <row r="11" spans="1:2" ht="13">
      <c r="A11" s="80" t="s">
        <v>129</v>
      </c>
      <c r="B11" s="82">
        <f>COUNTIF(A1:A8,"*SBX-*")</f>
        <v>6</v>
      </c>
    </row>
    <row r="12" spans="1:2" ht="13">
      <c r="A12" s="80" t="s">
        <v>130</v>
      </c>
      <c r="B12" s="83">
        <f>COUNTIFS(A1:A8,"*SBX-*",B1:B8,"customer bug")</f>
        <v>3</v>
      </c>
    </row>
  </sheetData>
  <pageMargins left="0.7" right="0.7" top="0.75" bottom="0.75" header="0.3" footer="0.3"/>
  <pageSetup paperSize="9" orientation="portrait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7"/>
  <dimension ref="A1:B4"/>
  <sheetViews>
    <sheetView workbookViewId="0">
      <selection activeCell="B1" sqref="B1"/>
    </sheetView>
  </sheetViews>
  <sheetFormatPr defaultRowHeight="12.5"/>
  <cols>
    <col min="1" max="1" width="54" bestFit="1" customWidth="1"/>
  </cols>
  <sheetData>
    <row r="1" spans="1:2">
      <c r="A1" s="84" t="s">
        <v>131</v>
      </c>
      <c r="B1" s="85" t="str">
        <f>LEFT(A1,FIND(":",A1)-1)</f>
        <v>Split1</v>
      </c>
    </row>
    <row r="2" spans="1:2">
      <c r="A2" s="84" t="s">
        <v>132</v>
      </c>
      <c r="B2" s="85" t="str">
        <f t="shared" ref="B2:B4" si="0">LEFT(A2,FIND(":",A2)-1)</f>
        <v>Split2</v>
      </c>
    </row>
    <row r="3" spans="1:2">
      <c r="A3" s="84" t="s">
        <v>133</v>
      </c>
      <c r="B3" s="85" t="str">
        <f t="shared" si="0"/>
        <v xml:space="preserve">Split3 </v>
      </c>
    </row>
    <row r="4" spans="1:2">
      <c r="A4" s="84" t="s">
        <v>134</v>
      </c>
      <c r="B4" s="85" t="str">
        <f t="shared" si="0"/>
        <v xml:space="preserve">  Split4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3683E-5306-4781-9D75-C66D5DDF68AF}">
  <sheetPr codeName="Sheet18"/>
  <dimension ref="A1:F2"/>
  <sheetViews>
    <sheetView workbookViewId="0"/>
  </sheetViews>
  <sheetFormatPr defaultRowHeight="12.5"/>
  <cols>
    <col min="1" max="1" width="14.26953125" customWidth="1"/>
    <col min="3" max="3" width="20.7265625" customWidth="1"/>
    <col min="4" max="4" width="17.26953125" customWidth="1"/>
    <col min="5" max="6" width="19.81640625" customWidth="1"/>
  </cols>
  <sheetData>
    <row r="1" spans="1:6" ht="34.5" customHeight="1">
      <c r="A1" s="94" t="s">
        <v>165</v>
      </c>
      <c r="B1" s="94" t="s">
        <v>167</v>
      </c>
      <c r="C1" s="94" t="s">
        <v>168</v>
      </c>
      <c r="D1" s="94" t="s">
        <v>166</v>
      </c>
      <c r="E1" s="94" t="s">
        <v>168</v>
      </c>
      <c r="F1" s="94" t="s">
        <v>166</v>
      </c>
    </row>
    <row r="2" spans="1:6" ht="23.25" customHeight="1">
      <c r="A2" s="95">
        <v>37970</v>
      </c>
      <c r="B2" s="95">
        <v>40380</v>
      </c>
      <c r="C2" s="96">
        <f t="shared" ref="C2" ca="1" si="0">(TODAY()-B2)/365</f>
        <v>15.378082191780821</v>
      </c>
      <c r="D2" s="96">
        <f t="shared" ref="D2" ca="1" si="1">(TODAY()-A2)/365</f>
        <v>21.980821917808218</v>
      </c>
      <c r="E2" s="97" t="str">
        <f ca="1">DATEDIF(0,(TODAY()-A2),"Y")&amp;" years "&amp;DATEDIF(0,(TODAY()-A2),"YM")&amp;" months"</f>
        <v>21 years 11 months</v>
      </c>
      <c r="F2" s="97" t="str">
        <f ca="1">DATEDIF(0,(TODAY()-B2),"Y")&amp;" years "&amp;DATEDIF(0,(TODAY()-B2),"YM")&amp;" months"</f>
        <v>15 years 4 months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9757F-FFD6-467C-8765-7F6D1858FC9A}">
  <sheetPr codeName="Sheet19"/>
  <dimension ref="B1:B11"/>
  <sheetViews>
    <sheetView workbookViewId="0">
      <selection activeCell="B1" sqref="B1"/>
    </sheetView>
  </sheetViews>
  <sheetFormatPr defaultRowHeight="12.5"/>
  <sheetData>
    <row r="1" spans="2:2" ht="15.5">
      <c r="B1" s="98" t="str">
        <f>_xlfn.UNICHAR(ROW()+9311)</f>
        <v>①</v>
      </c>
    </row>
    <row r="2" spans="2:2" ht="15.5">
      <c r="B2" s="98" t="str">
        <f t="shared" ref="B2:B11" si="0">_xlfn.UNICHAR(ROW()+9311)</f>
        <v>②</v>
      </c>
    </row>
    <row r="3" spans="2:2" ht="15.5">
      <c r="B3" s="98" t="str">
        <f t="shared" si="0"/>
        <v>③</v>
      </c>
    </row>
    <row r="4" spans="2:2" ht="15.5">
      <c r="B4" s="98" t="str">
        <f t="shared" si="0"/>
        <v>④</v>
      </c>
    </row>
    <row r="5" spans="2:2" ht="15.5">
      <c r="B5" s="98" t="str">
        <f t="shared" si="0"/>
        <v>⑤</v>
      </c>
    </row>
    <row r="6" spans="2:2" ht="15.5">
      <c r="B6" s="98" t="str">
        <f t="shared" si="0"/>
        <v>⑥</v>
      </c>
    </row>
    <row r="7" spans="2:2" ht="15.5">
      <c r="B7" s="98" t="str">
        <f t="shared" si="0"/>
        <v>⑦</v>
      </c>
    </row>
    <row r="8" spans="2:2" ht="15.5">
      <c r="B8" s="98" t="str">
        <f t="shared" si="0"/>
        <v>⑧</v>
      </c>
    </row>
    <row r="9" spans="2:2" ht="15.5">
      <c r="B9" s="98" t="str">
        <f t="shared" si="0"/>
        <v>⑨</v>
      </c>
    </row>
    <row r="10" spans="2:2" ht="15.5">
      <c r="B10" s="98" t="str">
        <f t="shared" si="0"/>
        <v>⑩</v>
      </c>
    </row>
    <row r="11" spans="2:2" ht="15.5">
      <c r="B11" s="98" t="str">
        <f t="shared" si="0"/>
        <v>⑪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BDDCA-2E43-4B2A-AC17-0EB5C1419986}">
  <sheetPr codeName="Sheet20"/>
  <dimension ref="A1"/>
  <sheetViews>
    <sheetView workbookViewId="0"/>
  </sheetViews>
  <sheetFormatPr defaultRowHeight="12.5"/>
  <sheetData/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B42CE-A8E6-48ED-B32A-3F944FAD6F34}">
  <dimension ref="A1:B16"/>
  <sheetViews>
    <sheetView workbookViewId="0">
      <selection activeCell="A2" sqref="A2"/>
    </sheetView>
  </sheetViews>
  <sheetFormatPr defaultRowHeight="12.5"/>
  <cols>
    <col min="2" max="2" width="23.1796875" bestFit="1" customWidth="1"/>
  </cols>
  <sheetData>
    <row r="1" spans="1:2" ht="13">
      <c r="A1" s="100" t="s">
        <v>169</v>
      </c>
      <c r="B1" s="100" t="s">
        <v>170</v>
      </c>
    </row>
    <row r="2" spans="1:2">
      <c r="A2" s="101">
        <f>IF(B2="","",COUNTA($B$2:B2))</f>
        <v>1</v>
      </c>
      <c r="B2" s="102" t="s">
        <v>77</v>
      </c>
    </row>
    <row r="3" spans="1:2">
      <c r="A3" s="101">
        <f>IF(B3="","",COUNTA($B$2:B3))</f>
        <v>2</v>
      </c>
      <c r="B3" s="102" t="s">
        <v>78</v>
      </c>
    </row>
    <row r="4" spans="1:2">
      <c r="A4" s="101">
        <f>IF(B4="","",COUNTA($B$2:B4))</f>
        <v>3</v>
      </c>
      <c r="B4" s="102" t="s">
        <v>79</v>
      </c>
    </row>
    <row r="5" spans="1:2">
      <c r="A5" s="101">
        <f>IF(B5="","",COUNTA($B$2:B5))</f>
        <v>4</v>
      </c>
      <c r="B5" s="102" t="s">
        <v>80</v>
      </c>
    </row>
    <row r="6" spans="1:2">
      <c r="A6" s="101">
        <f>IF(B6="","",COUNTA($B$2:B6))</f>
        <v>5</v>
      </c>
      <c r="B6" s="102" t="s">
        <v>81</v>
      </c>
    </row>
    <row r="7" spans="1:2">
      <c r="A7" s="101">
        <f>IF(B7="","",COUNTA($B$2:B7))</f>
        <v>6</v>
      </c>
      <c r="B7" s="102" t="s">
        <v>171</v>
      </c>
    </row>
    <row r="8" spans="1:2">
      <c r="A8" s="101">
        <f>IF(B8="","",COUNTA($B$2:B8))</f>
        <v>7</v>
      </c>
      <c r="B8" s="102" t="s">
        <v>172</v>
      </c>
    </row>
    <row r="9" spans="1:2">
      <c r="A9" s="101">
        <f>IF(B9="","",COUNTA($B$2:B9))</f>
        <v>8</v>
      </c>
      <c r="B9" s="102" t="s">
        <v>173</v>
      </c>
    </row>
    <row r="10" spans="1:2">
      <c r="A10" s="103" t="str">
        <f>IF(B10="","",COUNTA($B$2:B10))</f>
        <v/>
      </c>
      <c r="B10" s="104"/>
    </row>
    <row r="11" spans="1:2">
      <c r="A11" s="101">
        <f>IF(B11="","",COUNTA($B$2:B11))</f>
        <v>9</v>
      </c>
      <c r="B11" s="102" t="s">
        <v>82</v>
      </c>
    </row>
    <row r="12" spans="1:2">
      <c r="A12" s="101">
        <f>IF(B12="","",COUNTA($B$2:B12))</f>
        <v>10</v>
      </c>
      <c r="B12" s="102" t="s">
        <v>83</v>
      </c>
    </row>
    <row r="13" spans="1:2">
      <c r="A13" s="101">
        <f>IF(B13="","",COUNTA($B$2:B13))</f>
        <v>11</v>
      </c>
      <c r="B13" s="102" t="s">
        <v>174</v>
      </c>
    </row>
    <row r="14" spans="1:2">
      <c r="A14" s="101">
        <f>IF(B14="","",COUNTA($B$2:B14))</f>
        <v>12</v>
      </c>
      <c r="B14" s="102" t="s">
        <v>78</v>
      </c>
    </row>
    <row r="15" spans="1:2">
      <c r="A15" s="101">
        <f>IF(B15="","",COUNTA($B$2:B15))</f>
        <v>13</v>
      </c>
      <c r="B15" s="102">
        <v>123</v>
      </c>
    </row>
    <row r="16" spans="1:2">
      <c r="A16" s="101">
        <f>IF(B16="","",COUNTA($B$2:B16))</f>
        <v>14</v>
      </c>
      <c r="B16" s="102">
        <v>456</v>
      </c>
    </row>
  </sheetData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05BD7-4E2A-4033-B8F7-FFE8F6EB2480}">
  <dimension ref="A1:A3"/>
  <sheetViews>
    <sheetView workbookViewId="0">
      <selection activeCell="A5" sqref="A5"/>
    </sheetView>
  </sheetViews>
  <sheetFormatPr defaultRowHeight="12.5"/>
  <sheetData>
    <row r="1" spans="1:1">
      <c r="A1" s="38" t="s">
        <v>175</v>
      </c>
    </row>
    <row r="3" spans="1:1">
      <c r="A3" s="65" t="s">
        <v>176</v>
      </c>
    </row>
  </sheetData>
  <hyperlinks>
    <hyperlink ref="A3" r:id="rId1" xr:uid="{D8AB7BD0-8FC4-47E3-B085-41B783A86900}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59F3F-76A1-4967-83F1-7E889A75A7D6}">
  <dimension ref="B2:F14"/>
  <sheetViews>
    <sheetView workbookViewId="0">
      <selection activeCell="F3" sqref="F3"/>
    </sheetView>
  </sheetViews>
  <sheetFormatPr defaultRowHeight="12.5"/>
  <cols>
    <col min="6" max="6" width="17.54296875" customWidth="1"/>
  </cols>
  <sheetData>
    <row r="2" spans="2:6" ht="14.5">
      <c r="B2" s="105" t="s">
        <v>177</v>
      </c>
      <c r="C2" s="105" t="s">
        <v>178</v>
      </c>
      <c r="D2" s="106"/>
      <c r="E2" s="107" t="s">
        <v>177</v>
      </c>
      <c r="F2" s="107" t="s">
        <v>178</v>
      </c>
    </row>
    <row r="3" spans="2:6" ht="14.5">
      <c r="B3" s="108" t="s">
        <v>20</v>
      </c>
      <c r="C3" s="108" t="s">
        <v>179</v>
      </c>
      <c r="D3" s="106"/>
      <c r="E3" s="108" t="s">
        <v>20</v>
      </c>
      <c r="F3" s="108" t="str" cm="1">
        <f t="array" ref="F3">_xlfn.TEXTJOIN(",",,IF($B$3:$B$12=E3,$C$3:$C$12,""))</f>
        <v>a1,a2,a3,a4</v>
      </c>
    </row>
    <row r="4" spans="2:6" ht="14.5">
      <c r="B4" s="108" t="s">
        <v>20</v>
      </c>
      <c r="C4" s="108" t="s">
        <v>182</v>
      </c>
      <c r="D4" s="106"/>
      <c r="E4" s="108" t="s">
        <v>21</v>
      </c>
      <c r="F4" s="108" t="str" cm="1">
        <f t="array" ref="F4">_xlfn.TEXTJOIN(",",,IF($B$3:$B$12=E4,$C$3:$C$12,""))</f>
        <v>b1,b2,b3</v>
      </c>
    </row>
    <row r="5" spans="2:6" ht="14.5">
      <c r="B5" s="108" t="s">
        <v>21</v>
      </c>
      <c r="C5" s="108" t="s">
        <v>180</v>
      </c>
      <c r="D5" s="106"/>
      <c r="E5" s="108" t="s">
        <v>22</v>
      </c>
      <c r="F5" s="108" t="str" cm="1">
        <f t="array" ref="F5">_xlfn.TEXTJOIN(",",,IF($B$3:$B$12=E5,$C$3:$C$12,""))</f>
        <v>c1,c2,c3</v>
      </c>
    </row>
    <row r="6" spans="2:6" ht="14.5">
      <c r="B6" s="108" t="s">
        <v>22</v>
      </c>
      <c r="C6" s="108" t="s">
        <v>181</v>
      </c>
      <c r="D6" s="106"/>
      <c r="E6" s="106"/>
      <c r="F6" s="106"/>
    </row>
    <row r="7" spans="2:6" ht="14.5">
      <c r="B7" s="108" t="s">
        <v>21</v>
      </c>
      <c r="C7" s="108" t="s">
        <v>187</v>
      </c>
      <c r="D7" s="106"/>
      <c r="E7" s="106"/>
      <c r="F7" s="106"/>
    </row>
    <row r="8" spans="2:6" ht="14.5">
      <c r="B8" s="108" t="s">
        <v>20</v>
      </c>
      <c r="C8" s="108" t="s">
        <v>183</v>
      </c>
      <c r="D8" s="106"/>
      <c r="E8" s="106"/>
      <c r="F8" s="106"/>
    </row>
    <row r="9" spans="2:6" ht="14.5">
      <c r="B9" s="108" t="s">
        <v>22</v>
      </c>
      <c r="C9" s="108" t="s">
        <v>188</v>
      </c>
      <c r="D9" s="106"/>
      <c r="E9" s="106"/>
      <c r="F9" s="106"/>
    </row>
    <row r="10" spans="2:6" ht="14.5">
      <c r="B10" s="108" t="s">
        <v>21</v>
      </c>
      <c r="C10" s="108" t="s">
        <v>185</v>
      </c>
      <c r="D10" s="106"/>
      <c r="E10" s="106"/>
      <c r="F10" s="106"/>
    </row>
    <row r="11" spans="2:6" ht="14.5">
      <c r="B11" s="108" t="s">
        <v>22</v>
      </c>
      <c r="C11" s="108" t="s">
        <v>184</v>
      </c>
      <c r="D11" s="106"/>
      <c r="E11" s="106"/>
      <c r="F11" s="106"/>
    </row>
    <row r="12" spans="2:6" ht="14.5">
      <c r="B12" s="108" t="s">
        <v>20</v>
      </c>
      <c r="C12" s="108" t="s">
        <v>186</v>
      </c>
      <c r="D12" s="106"/>
      <c r="E12" s="106"/>
      <c r="F12" s="106"/>
    </row>
    <row r="13" spans="2:6" ht="14.5">
      <c r="B13" s="106"/>
      <c r="C13" s="106"/>
      <c r="D13" s="106"/>
      <c r="E13" s="106"/>
      <c r="F13" s="106"/>
    </row>
    <row r="14" spans="2:6" ht="14.5">
      <c r="B14" s="106"/>
      <c r="C14" s="106"/>
      <c r="D14" s="106"/>
      <c r="E14" s="106"/>
      <c r="F14" s="10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Check_Duplicate</vt:lpstr>
      <vt:lpstr>Double criteria</vt:lpstr>
      <vt:lpstr>SumIF</vt:lpstr>
      <vt:lpstr>NestedIfs</vt:lpstr>
      <vt:lpstr>Vlookup</vt:lpstr>
      <vt:lpstr>Lookup</vt:lpstr>
      <vt:lpstr>Sumproduct</vt:lpstr>
      <vt:lpstr>Compare two columns</vt:lpstr>
      <vt:lpstr>Compare three columns</vt:lpstr>
      <vt:lpstr>concatenate</vt:lpstr>
      <vt:lpstr>Count values in cell</vt:lpstr>
      <vt:lpstr>Workdays</vt:lpstr>
      <vt:lpstr>Count and List Worksheets</vt:lpstr>
      <vt:lpstr>Index</vt:lpstr>
      <vt:lpstr>Split_Search</vt:lpstr>
      <vt:lpstr>COUNTIFS</vt:lpstr>
      <vt:lpstr>Split</vt:lpstr>
      <vt:lpstr>Convert Years Months</vt:lpstr>
      <vt:lpstr>Number</vt:lpstr>
      <vt:lpstr>Date_Increment</vt:lpstr>
      <vt:lpstr>Add numbers with blank rows</vt:lpstr>
      <vt:lpstr>Insert Row</vt:lpstr>
      <vt:lpstr>Advanced Vlook</vt:lpstr>
    </vt:vector>
  </TitlesOfParts>
  <Company>Sonus Networks India Pvt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Bkumar</dc:creator>
  <cp:lastModifiedBy>Biju Kumar</cp:lastModifiedBy>
  <dcterms:created xsi:type="dcterms:W3CDTF">2010-03-26T03:35:46Z</dcterms:created>
  <dcterms:modified xsi:type="dcterms:W3CDTF">2025-12-02T05:57:09Z</dcterms:modified>
</cp:coreProperties>
</file>